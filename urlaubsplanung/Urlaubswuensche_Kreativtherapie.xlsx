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Wünsche" sheetId="2" state="visible" r:id="rId4"/>
    <sheet name="Team" sheetId="3" state="visible" r:id="rId5"/>
    <sheet name="Einstellungen" sheetId="4" state="visible" r:id="rId6"/>
  </sheets>
  <definedNames>
    <definedName function="false" hidden="true" localSheetId="1" name="_xlnm._FilterDatabase" vbProcedure="false">Wünsche!$A$5:$J$605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Ab wie vielen gleichzeitig Abwesenden aus dieser Fachrichtung soll die Ampel gelb / hellrot / dunkelrot zeigen? Leer = Stufe wird nicht verwendet.</t>
        </r>
      </text>
    </comment>
    <comment ref="I6" authorId="0">
      <text>
        <r>
          <rPr>
            <sz val="10"/>
            <rFont val="Arial"/>
            <family val="2"/>
          </rPr>
          <t xml:space="preserve">Leer = Standardregel:
• 1 weg = grün (kein Warnsignal)
• Gelb ab 2 weg
• Hellrot, wenn nur noch 2 da sind (nur bei Stationen ab 4 Therapeut:innen)
• Dunkelrot, wenn alle weg sind.
Eigene Zahl eintragen = überschreibt die Regel für diese Station.</t>
        </r>
      </text>
    </comment>
  </commentList>
</comments>
</file>

<file path=xl/sharedStrings.xml><?xml version="1.0" encoding="utf-8"?>
<sst xmlns="http://schemas.openxmlformats.org/spreadsheetml/2006/main" count="162" uniqueCount="110">
  <si>
    <t xml:space="preserve">Urlaubswünsche Kreativtherapie – Jahresplanung</t>
  </si>
  <si>
    <t xml:space="preserve">In dieser Datei sammeln wir unsere Urlaubswünsche für das ganze Jahr. Das ist keine Genehmigung: Die Planung überträgt die Wünsche später ins ATOSS. Wer sehen will, wo es im Fachteam oder auf einer Station eng wird, öffnet die Ansicht »Urlaubsansicht.html« (liegt im selben Ordner).</t>
  </si>
  <si>
    <t xml:space="preserve">So trage ich meine Wünsche ein</t>
  </si>
  <si>
    <t xml:space="preserve">1.  Blatt »Wünsche« öffnen. Für JEDEN Urlaubsblock eine eigene Zeile – z. B. 3 Zeilen für »2 Wochen Sommer, 1 Woche Herbst, Brückentag im Mai«.</t>
  </si>
  <si>
    <t xml:space="preserve">2.  Spalte A: eigenen Namen aus der Liste wählen (bitte nicht tippen).</t>
  </si>
  <si>
    <t xml:space="preserve">3.  Von / Bis eintragen, z. B. 12.07.2027. Ein einzelner Tag: Von = Bis.</t>
  </si>
  <si>
    <t xml:space="preserve">4.  Verschiebbar? ja = ich bin flexibel · etwas = ein paar Tage gehen · nein = Termin steht fest (z. B. gebuchte Reise). Das hilft bei der Absprache.</t>
  </si>
  <si>
    <t xml:space="preserve">5.  Die grauen Spalten rechnen von selbst (Wunsch-Nr., Arbeitstage, Hinweis). »ok« heißt: Eingabe ist vollständig. Ob es einen Engpass gibt, zeigt die Urlaubsansicht.</t>
  </si>
  <si>
    <t xml:space="preserve">6.  Wunsch ändern: Von/Bis überschreiben. Wunsch fällt weg: Zellen A–E der Zeile markieren → Entf.</t>
  </si>
  <si>
    <t xml:space="preserve">7.  Speichern und schließen.</t>
  </si>
  <si>
    <t xml:space="preserve">So nutze ich die Urlaubsansicht (Urlaubsansicht.html)</t>
  </si>
  <si>
    <t xml:space="preserve">1.  Datei Urlaubsansicht.html doppelklicken – sie öffnet sich im Browser (Edge, Chrome oder Firefox).</t>
  </si>
  <si>
    <t xml:space="preserve">2.  »Excel-Datei laden« klicken und diese Datei auswählen (oder per Maus ins Fenster ziehen).</t>
  </si>
  <si>
    <t xml:space="preserve">3.  Filtern nach Fachrichtung, Station oder Person; Wochen- oder Tagesansicht wählen.</t>
  </si>
  <si>
    <t xml:space="preserve">4.  Ampel: Grün = noch Platz · Gelb = Grenze erreicht, keiner mehr dazu · Rot = Grenze überschritten. Ein Klick auf ein Feld zeigt, wer in dieser Zeit weg ist.</t>
  </si>
  <si>
    <t xml:space="preserve">5.  Die Ansicht liest nur – sie verändert die Excel-Datei nicht. Nach neuen Einträgen auf »Neu laden« klicken.</t>
  </si>
  <si>
    <t xml:space="preserve">Für die Planung: Übernahme ins ATOSS</t>
  </si>
  <si>
    <t xml:space="preserve">•  Filter in der Kopfzeile von »Wünsche« nutzen (z. B. nach Name oder Datum sortieren).</t>
  </si>
  <si>
    <t xml:space="preserve">•  Nach dem Übertragen in Spalte J das Datum eintragen. Die Zeile wird grau – so sieht man, was erledigt ist.</t>
  </si>
  <si>
    <t xml:space="preserve">•  Stichtag für die Wünsche im Team bekannt geben (z. B. 30.11.), danach übertragen.</t>
  </si>
  <si>
    <t xml:space="preserve">Einrichtung (einmalig, durch die verantwortliche Person)</t>
  </si>
  <si>
    <t xml:space="preserve">1.  »Einstellungen«: Startdatum (B3), Fachrichtungen und Stationen mit ihren Ampel-Werten (ab wie vielen Abwesenden gelb/hellrot/dunkelrot), Feiertage. Bundesweite Feiertage sind vorbelegt – Landesfeiertage und Schließtage ergänzen. Ampel-Werte leer: Station = Standardregel, Fachteam = keine Ampel.</t>
  </si>
  <si>
    <t xml:space="preserve">2.  »Team«: alle Therapeut:innen mit Fachrichtung, bis zu 4 Stationen und (optional) Urlaubsanspruch. Jeder Name nur einmal.</t>
  </si>
  <si>
    <t xml:space="preserve">3.  Beispieldaten (graue Zeilen) in »Team« und »Wünsche« markieren → Entf. NICHT ›Zeilen löschen‹ und keine Zeilen/Spalten einfügen: Die Urlaubsansicht liest feste Zeilen und Spalten.</t>
  </si>
  <si>
    <t xml:space="preserve">4.  Neues Jahr: Datei kopieren, Startdatum ändern, alte Wünsche löschen, Feiertage aktualisieren.</t>
  </si>
  <si>
    <t xml:space="preserve">Ablage</t>
  </si>
  <si>
    <t xml:space="preserve">•  Am besten in Teams / SharePoint / OneDrive der Klinik: Dann können mehrere gleichzeitig eintragen. Für die Urlaubsansicht die Datei über den synchronisierten Ordner (OneDrive im Explorer) auswählen oder vorher herunterladen.</t>
  </si>
  <si>
    <t xml:space="preserve">•  Nur Netzlaufwerk: Excel sperrt die Datei, solange jemand sie offen hat. Also: öffnen, eintragen, speichern, sofort schließen. Die Urlaubsansicht kann die Datei trotzdem jederzeit lesen.</t>
  </si>
  <si>
    <t xml:space="preserve">•  Urlaubszeiten sind personenbezogene Daten: nur im Klinik-System ablegen, Zugriff nur fürs Team.</t>
  </si>
  <si>
    <t xml:space="preserve">Urlaubswünsche</t>
  </si>
  <si>
    <t xml:space="preserve">Für jeden Urlaubsblock eine eigene Zeile – mehrere Wünsche pro Person sind erwünscht. Hellgelb ausfüllen, grau rechnet von selbst.</t>
  </si>
  <si>
    <t xml:space="preserve">Nur Wünsche, keine Genehmigung. Engpässe zeigt die Urlaubsansicht (Urlaubsansicht.html).</t>
  </si>
  <si>
    <t xml:space="preserve">Ich trage ein</t>
  </si>
  <si>
    <t xml:space="preserve">wird berechnet</t>
  </si>
  <si>
    <t xml:space="preserve">Planung</t>
  </si>
  <si>
    <t xml:space="preserve">Name</t>
  </si>
  <si>
    <t xml:space="preserve">Von</t>
  </si>
  <si>
    <t xml:space="preserve">Bis</t>
  </si>
  <si>
    <t xml:space="preserve">Verschiebbar?</t>
  </si>
  <si>
    <t xml:space="preserve">Bemerkung / Absprache</t>
  </si>
  <si>
    <t xml:space="preserve">Fachrichtung</t>
  </si>
  <si>
    <t xml:space="preserve">Wunsch
Nr.</t>
  </si>
  <si>
    <t xml:space="preserve">Arbeits-
tage</t>
  </si>
  <si>
    <t xml:space="preserve">Hinweis</t>
  </si>
  <si>
    <t xml:space="preserve">In ATOSS
übertragen am</t>
  </si>
  <si>
    <t xml:space="preserve">Beispiel Anna</t>
  </si>
  <si>
    <t xml:space="preserve">etwas</t>
  </si>
  <si>
    <t xml:space="preserve">mit Ben getauscht</t>
  </si>
  <si>
    <t xml:space="preserve">ja</t>
  </si>
  <si>
    <t xml:space="preserve">nein</t>
  </si>
  <si>
    <t xml:space="preserve">Beispiel Ben</t>
  </si>
  <si>
    <t xml:space="preserve">Brückentag</t>
  </si>
  <si>
    <t xml:space="preserve">Beispiel Clara</t>
  </si>
  <si>
    <t xml:space="preserve">Beispiel David</t>
  </si>
  <si>
    <t xml:space="preserve">Reise gebucht</t>
  </si>
  <si>
    <t xml:space="preserve">Beispiel Eva</t>
  </si>
  <si>
    <t xml:space="preserve">Beispiel Finn</t>
  </si>
  <si>
    <t xml:space="preserve">Station 1 wäre dann zu dünn – klären</t>
  </si>
  <si>
    <t xml:space="preserve">Beispiel Gül</t>
  </si>
  <si>
    <t xml:space="preserve">Team</t>
  </si>
  <si>
    <t xml:space="preserve">Eine Zeile pro Person, Name eindeutig (z. B. »Anna M.«). Fachrichtung und Stationen aus der Liste wählen. Nur die verantwortliche Person pflegt dieses Blatt.</t>
  </si>
  <si>
    <t xml:space="preserve">Station 1</t>
  </si>
  <si>
    <t xml:space="preserve">Station 2</t>
  </si>
  <si>
    <t xml:space="preserve">Station 3</t>
  </si>
  <si>
    <t xml:space="preserve">Station 4</t>
  </si>
  <si>
    <t xml:space="preserve">Urlaubs-
anspruch (Tage)</t>
  </si>
  <si>
    <t xml:space="preserve">Bemerkung</t>
  </si>
  <si>
    <t xml:space="preserve">Anzahl
Wünsche</t>
  </si>
  <si>
    <t xml:space="preserve">Gewünschte
Arbeitstage</t>
  </si>
  <si>
    <t xml:space="preserve">Rest</t>
  </si>
  <si>
    <t xml:space="preserve">Ergotherapie</t>
  </si>
  <si>
    <t xml:space="preserve">StäB</t>
  </si>
  <si>
    <t xml:space="preserve">TK Depression</t>
  </si>
  <si>
    <t xml:space="preserve">TK Sucht</t>
  </si>
  <si>
    <t xml:space="preserve">Musiktherapie</t>
  </si>
  <si>
    <t xml:space="preserve">Bewegungstherapie</t>
  </si>
  <si>
    <t xml:space="preserve">Einstellungen</t>
  </si>
  <si>
    <t xml:space="preserve">Nur die verantwortliche Person ändert dieses Blatt. Hellgelb = Eingabe. Ampel-Werte = ab wie vielen gleichzeitig Abwesenden die Farbe gilt.</t>
  </si>
  <si>
    <t xml:space="preserve">Startdatum Planungszeitraum</t>
  </si>
  <si>
    <t xml:space="preserve">← Die Urlaubsansicht zeigt ab hier 366 Tage.</t>
  </si>
  <si>
    <t xml:space="preserve">Letzter Tag (berechnet)</t>
  </si>
  <si>
    <t xml:space="preserve">Fachteam: leer = keine Ampel</t>
  </si>
  <si>
    <t xml:space="preserve">Station: leer = Standardregel</t>
  </si>
  <si>
    <t xml:space="preserve">Bundesweite Feiertage vorbelegt – Landesfeiertage ergänzen!</t>
  </si>
  <si>
    <t xml:space="preserve">Gelb
ab … weg</t>
  </si>
  <si>
    <t xml:space="preserve">Hellrot
ab … weg</t>
  </si>
  <si>
    <t xml:space="preserve">Dunkelrot
ab … weg</t>
  </si>
  <si>
    <t xml:space="preserve">Personen</t>
  </si>
  <si>
    <t xml:space="preserve">Farbe</t>
  </si>
  <si>
    <t xml:space="preserve">Station</t>
  </si>
  <si>
    <t xml:space="preserve">Therapeut:
innen</t>
  </si>
  <si>
    <t xml:space="preserve">Feiertag</t>
  </si>
  <si>
    <t xml:space="preserve">Bezeichnung</t>
  </si>
  <si>
    <t xml:space="preserve">Neujahr</t>
  </si>
  <si>
    <t xml:space="preserve">Karfreitag</t>
  </si>
  <si>
    <t xml:space="preserve">Ostermontag</t>
  </si>
  <si>
    <t xml:space="preserve">Kunsttherapie</t>
  </si>
  <si>
    <t xml:space="preserve">Tag der Arbeit</t>
  </si>
  <si>
    <t xml:space="preserve">Christi Himmelfahrt</t>
  </si>
  <si>
    <t xml:space="preserve">Station 5</t>
  </si>
  <si>
    <t xml:space="preserve">Pfingstmontag</t>
  </si>
  <si>
    <t xml:space="preserve">Station 6</t>
  </si>
  <si>
    <t xml:space="preserve">Tag der Deutschen Einheit</t>
  </si>
  <si>
    <t xml:space="preserve">Station 7</t>
  </si>
  <si>
    <t xml:space="preserve">1. Weihnachtstag</t>
  </si>
  <si>
    <t xml:space="preserve">TK Migration</t>
  </si>
  <si>
    <t xml:space="preserve">2. Weihnachtstag</t>
  </si>
  <si>
    <t xml:space="preserve">TK Psychosomatik</t>
  </si>
  <si>
    <t xml:space="preserve">TK Allgemeinpsychiatrie</t>
  </si>
  <si>
    <t xml:space="preserve">TK 55+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</si>
</sst>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C00000"/>
      <name val="Arial"/>
      <family val="0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3864"/>
        <bgColor rgb="FF404040"/>
      </patternFill>
    </fill>
    <fill>
      <patternFill patternType="solid">
        <fgColor rgb="FFE7E6E6"/>
        <bgColor rgb="FFD9E1F2"/>
      </patternFill>
    </fill>
    <fill>
      <patternFill patternType="solid">
        <fgColor rgb="FFF4F4F4"/>
        <bgColor rgb="FFFFF8E1"/>
      </patternFill>
    </fill>
    <fill>
      <patternFill patternType="solid">
        <fgColor rgb="FFFFF8E1"/>
        <bgColor rgb="FFF4F4F4"/>
      </patternFill>
    </fill>
    <fill>
      <patternFill patternType="solid">
        <fgColor rgb="FF4E79A7"/>
        <bgColor rgb="FF808080"/>
      </patternFill>
    </fill>
    <fill>
      <patternFill patternType="solid">
        <fgColor rgb="FFB07AA1"/>
        <bgColor rgb="FFA08C7D"/>
      </patternFill>
    </fill>
    <fill>
      <patternFill patternType="solid">
        <fgColor rgb="FF76B7B2"/>
        <bgColor rgb="FF6A9FCB"/>
      </patternFill>
    </fill>
    <fill>
      <patternFill patternType="solid">
        <fgColor rgb="FF9C755F"/>
        <bgColor rgb="FFA08C7D"/>
      </patternFill>
    </fill>
    <fill>
      <patternFill patternType="solid">
        <fgColor rgb="FFF28E2B"/>
        <bgColor rgb="FFFF6600"/>
      </patternFill>
    </fill>
    <fill>
      <patternFill patternType="solid">
        <fgColor rgb="FF59A1A0"/>
        <bgColor rgb="FF6A9FCB"/>
      </patternFill>
    </fill>
    <fill>
      <patternFill patternType="solid">
        <fgColor rgb="FFD37295"/>
        <bgColor rgb="FFB07AA1"/>
      </patternFill>
    </fill>
    <fill>
      <patternFill patternType="solid">
        <fgColor rgb="FF8E8CD8"/>
        <bgColor rgb="FF6A9FCB"/>
      </patternFill>
    </fill>
    <fill>
      <patternFill patternType="solid">
        <fgColor rgb="FF6A9FCB"/>
        <bgColor rgb="FF59A1A0"/>
      </patternFill>
    </fill>
    <fill>
      <patternFill patternType="solid">
        <fgColor rgb="FFA08C7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E79A7"/>
          <bgColor rgb="FF000000"/>
        </patternFill>
      </fill>
    </dxf>
    <dxf>
      <fill>
        <patternFill patternType="solid">
          <fgColor rgb="FF76B7B2"/>
          <bgColor rgb="FF000000"/>
        </patternFill>
      </fill>
    </dxf>
    <dxf>
      <fill>
        <patternFill patternType="solid">
          <fgColor rgb="FFB07AA1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i val="1"/>
        <color rgb="FF808080"/>
      </font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4E79A7"/>
        </patternFill>
      </fill>
    </dxf>
    <dxf>
      <font>
        <b val="1"/>
        <color rgb="FFFFFFFF"/>
      </font>
      <fill>
        <patternFill>
          <bgColor rgb="FFB07AA1"/>
        </patternFill>
      </fill>
    </dxf>
    <dxf>
      <font>
        <b val="1"/>
        <color rgb="FFFFFFFF"/>
      </font>
      <fill>
        <patternFill>
          <bgColor rgb="FF76B7B2"/>
        </patternFill>
      </fill>
    </dxf>
    <dxf>
      <font>
        <b val="1"/>
        <color rgb="FFFFFFFF"/>
      </font>
      <fill>
        <patternFill>
          <bgColor rgb="FF9C755F"/>
        </patternFill>
      </fill>
    </dxf>
    <dxf>
      <font>
        <b val="1"/>
        <color rgb="FFFFFFFF"/>
      </font>
      <fill>
        <patternFill>
          <bgColor rgb="FFF28E2B"/>
        </patternFill>
      </fill>
    </dxf>
    <dxf>
      <font>
        <b val="1"/>
        <color rgb="FFFFFFFF"/>
      </font>
      <fill>
        <patternFill>
          <bgColor rgb="FF59A1A0"/>
        </patternFill>
      </fill>
    </dxf>
    <dxf>
      <font>
        <b val="1"/>
        <color rgb="FFFFFFFF"/>
      </font>
      <fill>
        <patternFill>
          <bgColor rgb="FFD37295"/>
        </patternFill>
      </fill>
    </dxf>
    <dxf>
      <font>
        <b val="1"/>
        <color rgb="FFFFFFFF"/>
      </font>
      <fill>
        <patternFill>
          <bgColor rgb="FF8E8CD8"/>
        </patternFill>
      </fill>
    </dxf>
    <dxf>
      <font>
        <b val="1"/>
        <color rgb="FFFFFFFF"/>
      </font>
      <fill>
        <patternFill>
          <bgColor rgb="FF6A9FCB"/>
        </patternFill>
      </fill>
    </dxf>
    <dxf>
      <font>
        <b val="1"/>
        <color rgb="FFFFFFFF"/>
      </font>
      <fill>
        <patternFill>
          <bgColor rgb="FFA08C7D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7E6E6"/>
      <rgbColor rgb="FFFF00FF"/>
      <rgbColor rgb="FF00FFFF"/>
      <rgbColor rgb="FF9C0006"/>
      <rgbColor rgb="FF006100"/>
      <rgbColor rgb="FF000080"/>
      <rgbColor rgb="FF9C755F"/>
      <rgbColor rgb="FF800080"/>
      <rgbColor rgb="FF008080"/>
      <rgbColor rgb="FFD9D9D9"/>
      <rgbColor rgb="FF808080"/>
      <rgbColor rgb="FF8E8CD8"/>
      <rgbColor rgb="FF993366"/>
      <rgbColor rgb="FFFFF8E1"/>
      <rgbColor rgb="FFF4F4F4"/>
      <rgbColor rgb="FF660066"/>
      <rgbColor rgb="FFD37295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76B7B2"/>
      <rgbColor rgb="FFB07AA1"/>
      <rgbColor rgb="FFA5A5A5"/>
      <rgbColor rgb="FFFFC7CE"/>
      <rgbColor rgb="FF3366FF"/>
      <rgbColor rgb="FF6A9FCB"/>
      <rgbColor rgb="FF99CC00"/>
      <rgbColor rgb="FFF2C200"/>
      <rgbColor rgb="FFF28E2B"/>
      <rgbColor rgb="FFFF6600"/>
      <rgbColor rgb="FF4E79A7"/>
      <rgbColor rgb="FFA08C7D"/>
      <rgbColor rgb="FF1F3864"/>
      <rgbColor rgb="FF59A1A0"/>
      <rgbColor rgb="FF003300"/>
      <rgbColor rgb="FF333300"/>
      <rgbColor rgb="FF9C57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27.75" hidden="false" customHeight="true" outlineLevel="0" collapsed="false">
      <c r="A1" s="1"/>
      <c r="B1" s="2" t="s">
        <v>0</v>
      </c>
    </row>
    <row r="2" customFormat="false" ht="42" hidden="false" customHeight="tru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1"/>
    </row>
    <row r="4" customFormat="false" ht="19.5" hidden="false" customHeight="true" outlineLevel="0" collapsed="false">
      <c r="A4" s="1"/>
      <c r="B4" s="4" t="s">
        <v>2</v>
      </c>
    </row>
    <row r="5" customFormat="false" ht="27" hidden="false" customHeight="true" outlineLevel="0" collapsed="false">
      <c r="A5" s="1"/>
      <c r="B5" s="5" t="s">
        <v>3</v>
      </c>
    </row>
    <row r="6" customFormat="false" ht="15" hidden="false" customHeight="false" outlineLevel="0" collapsed="false">
      <c r="A6" s="1"/>
      <c r="B6" s="5" t="s">
        <v>4</v>
      </c>
    </row>
    <row r="7" customFormat="false" ht="15" hidden="false" customHeight="false" outlineLevel="0" collapsed="false">
      <c r="A7" s="1"/>
      <c r="B7" s="5" t="s">
        <v>5</v>
      </c>
    </row>
    <row r="8" customFormat="false" ht="27" hidden="false" customHeight="true" outlineLevel="0" collapsed="false">
      <c r="A8" s="1"/>
      <c r="B8" s="5" t="s">
        <v>6</v>
      </c>
    </row>
    <row r="9" customFormat="false" ht="27" hidden="false" customHeight="true" outlineLevel="0" collapsed="false">
      <c r="A9" s="1"/>
      <c r="B9" s="5" t="s">
        <v>7</v>
      </c>
    </row>
    <row r="10" customFormat="false" ht="15" hidden="false" customHeight="false" outlineLevel="0" collapsed="false">
      <c r="A10" s="1"/>
      <c r="B10" s="5" t="s">
        <v>8</v>
      </c>
    </row>
    <row r="11" customFormat="false" ht="15" hidden="false" customHeight="false" outlineLevel="0" collapsed="false">
      <c r="A11" s="1"/>
      <c r="B11" s="5" t="s">
        <v>9</v>
      </c>
    </row>
    <row r="12" customFormat="false" ht="15" hidden="false" customHeight="false" outlineLevel="0" collapsed="false">
      <c r="A12" s="1"/>
      <c r="B12" s="1"/>
    </row>
    <row r="13" customFormat="false" ht="19.5" hidden="false" customHeight="true" outlineLevel="0" collapsed="false">
      <c r="A13" s="1"/>
      <c r="B13" s="4" t="s">
        <v>10</v>
      </c>
    </row>
    <row r="14" customFormat="false" ht="15" hidden="false" customHeight="false" outlineLevel="0" collapsed="false">
      <c r="A14" s="1"/>
      <c r="B14" s="5" t="s">
        <v>11</v>
      </c>
    </row>
    <row r="15" customFormat="false" ht="15" hidden="false" customHeight="false" outlineLevel="0" collapsed="false">
      <c r="A15" s="1"/>
      <c r="B15" s="5" t="s">
        <v>12</v>
      </c>
    </row>
    <row r="16" customFormat="false" ht="15" hidden="false" customHeight="false" outlineLevel="0" collapsed="false">
      <c r="A16" s="1"/>
      <c r="B16" s="5" t="s">
        <v>13</v>
      </c>
    </row>
    <row r="17" customFormat="false" ht="27" hidden="false" customHeight="true" outlineLevel="0" collapsed="false">
      <c r="A17" s="1"/>
      <c r="B17" s="5" t="s">
        <v>14</v>
      </c>
    </row>
    <row r="18" customFormat="false" ht="15" hidden="false" customHeight="false" outlineLevel="0" collapsed="false">
      <c r="A18" s="1"/>
      <c r="B18" s="5" t="s">
        <v>15</v>
      </c>
    </row>
    <row r="19" customFormat="false" ht="15" hidden="false" customHeight="false" outlineLevel="0" collapsed="false">
      <c r="A19" s="1"/>
      <c r="B19" s="1"/>
    </row>
    <row r="20" customFormat="false" ht="19.5" hidden="false" customHeight="true" outlineLevel="0" collapsed="false">
      <c r="A20" s="1"/>
      <c r="B20" s="4" t="s">
        <v>16</v>
      </c>
    </row>
    <row r="21" customFormat="false" ht="15" hidden="false" customHeight="false" outlineLevel="0" collapsed="false">
      <c r="A21" s="1"/>
      <c r="B21" s="5" t="s">
        <v>17</v>
      </c>
    </row>
    <row r="22" customFormat="false" ht="15" hidden="false" customHeight="false" outlineLevel="0" collapsed="false">
      <c r="A22" s="1"/>
      <c r="B22" s="5" t="s">
        <v>18</v>
      </c>
    </row>
    <row r="23" customFormat="false" ht="15" hidden="false" customHeight="false" outlineLevel="0" collapsed="false">
      <c r="A23" s="1"/>
      <c r="B23" s="5" t="s">
        <v>19</v>
      </c>
    </row>
    <row r="24" customFormat="false" ht="15" hidden="false" customHeight="false" outlineLevel="0" collapsed="false">
      <c r="A24" s="1"/>
      <c r="B24" s="1"/>
    </row>
    <row r="25" customFormat="false" ht="19.5" hidden="false" customHeight="true" outlineLevel="0" collapsed="false">
      <c r="A25" s="1"/>
      <c r="B25" s="4" t="s">
        <v>20</v>
      </c>
    </row>
    <row r="26" customFormat="false" ht="27" hidden="false" customHeight="true" outlineLevel="0" collapsed="false">
      <c r="A26" s="1"/>
      <c r="B26" s="5" t="s">
        <v>21</v>
      </c>
    </row>
    <row r="27" customFormat="false" ht="27" hidden="false" customHeight="true" outlineLevel="0" collapsed="false">
      <c r="A27" s="1"/>
      <c r="B27" s="5" t="s">
        <v>22</v>
      </c>
    </row>
    <row r="28" customFormat="false" ht="27" hidden="false" customHeight="true" outlineLevel="0" collapsed="false">
      <c r="A28" s="1"/>
      <c r="B28" s="5" t="s">
        <v>23</v>
      </c>
    </row>
    <row r="29" customFormat="false" ht="15" hidden="false" customHeight="false" outlineLevel="0" collapsed="false">
      <c r="A29" s="1"/>
      <c r="B29" s="5" t="s">
        <v>24</v>
      </c>
    </row>
    <row r="30" customFormat="false" ht="15" hidden="false" customHeight="false" outlineLevel="0" collapsed="false">
      <c r="A30" s="1"/>
      <c r="B30" s="1"/>
    </row>
    <row r="31" customFormat="false" ht="19.5" hidden="false" customHeight="true" outlineLevel="0" collapsed="false">
      <c r="A31" s="1"/>
      <c r="B31" s="4" t="s">
        <v>25</v>
      </c>
    </row>
    <row r="32" customFormat="false" ht="27" hidden="false" customHeight="true" outlineLevel="0" collapsed="false">
      <c r="A32" s="1"/>
      <c r="B32" s="5" t="s">
        <v>26</v>
      </c>
    </row>
    <row r="33" customFormat="false" ht="27" hidden="false" customHeight="true" outlineLevel="0" collapsed="false">
      <c r="A33" s="1"/>
      <c r="B33" s="5" t="s">
        <v>27</v>
      </c>
    </row>
    <row r="34" customFormat="false" ht="15" hidden="false" customHeight="false" outlineLevel="0" collapsed="false">
      <c r="A34" s="1"/>
      <c r="B34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200"/>
    <pageSetUpPr fitToPage="false"/>
  </sheetPr>
  <dimension ref="A1:J6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6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7" t="s">
        <v>30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8" t="s">
        <v>31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8" t="s">
        <v>32</v>
      </c>
      <c r="B4" s="1"/>
      <c r="C4" s="1"/>
      <c r="D4" s="1"/>
      <c r="E4" s="1"/>
      <c r="F4" s="8" t="s">
        <v>33</v>
      </c>
      <c r="G4" s="1"/>
      <c r="H4" s="1"/>
      <c r="I4" s="1"/>
      <c r="J4" s="8" t="s">
        <v>34</v>
      </c>
    </row>
    <row r="5" customFormat="false" ht="33.75" hidden="false" customHeight="true" outlineLevel="0" collapsed="false">
      <c r="A5" s="9" t="s">
        <v>35</v>
      </c>
      <c r="B5" s="9" t="s">
        <v>36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41</v>
      </c>
      <c r="H5" s="9" t="s">
        <v>42</v>
      </c>
      <c r="I5" s="9" t="s">
        <v>43</v>
      </c>
      <c r="J5" s="9" t="s">
        <v>44</v>
      </c>
    </row>
    <row r="6" customFormat="false" ht="15" hidden="false" customHeight="false" outlineLevel="0" collapsed="false">
      <c r="A6" s="10" t="s">
        <v>45</v>
      </c>
      <c r="B6" s="11" t="n">
        <v>46573</v>
      </c>
      <c r="C6" s="11" t="n">
        <v>46591</v>
      </c>
      <c r="D6" s="10" t="s">
        <v>46</v>
      </c>
      <c r="E6" s="10" t="s">
        <v>47</v>
      </c>
      <c r="F6" s="12" t="str">
        <f aca="false">IF($A6="","",IFERROR(INDEX(Team!$B$5:$B$64,MATCH($A6,Team!$A$5:$A$64,0)),"?"))</f>
        <v>Ergotherapie</v>
      </c>
      <c r="G6" s="13" t="str">
        <f aca="false">IF($A6="","",COUNTIF($A$6:$A6,$A6)&amp;". Wunsch")</f>
        <v>1. Wunsch</v>
      </c>
      <c r="H6" s="13" t="n">
        <f aca="false">IF(OR($A6="",$B6="",$C6="",$C6&lt;$B6),"",NETWORKDAYS($B6,$C6,Einstellungen!$N$7:$N$40))</f>
        <v>15</v>
      </c>
      <c r="I6" s="12" t="str">
        <f aca="false">IF($A6="","",IF(OR($B6="",$C6=""),"Von und Bis eintragen",IF($C6&lt;$B6,"Bis liegt vor Von",IF(ISNA(MATCH($A6,Team!$A$5:$A$64,0)),"Name fehlt im Blatt Team",IF(COUNTIFS($A$6:$A$605,$A6,$B$6:$B$605,"&lt;="&amp;$C6,$C$6:$C$605,"&gt;="&amp;$B6)&gt;1,"Überschneidet sich mit eigenem Wunsch",IF(OR($B6&lt;Einstellungen!$B$3,$C6&gt;Einstellungen!$B$4),"Teils außerhalb des Planungsjahres","ok"))))))</f>
        <v>ok</v>
      </c>
      <c r="J6" s="14"/>
    </row>
    <row r="7" customFormat="false" ht="15" hidden="false" customHeight="false" outlineLevel="0" collapsed="false">
      <c r="A7" s="10" t="s">
        <v>45</v>
      </c>
      <c r="B7" s="11" t="n">
        <v>46685</v>
      </c>
      <c r="C7" s="11" t="n">
        <v>46689</v>
      </c>
      <c r="D7" s="10" t="s">
        <v>48</v>
      </c>
      <c r="E7" s="10"/>
      <c r="F7" s="12" t="str">
        <f aca="false">IF($A7="","",IFERROR(INDEX(Team!$B$5:$B$64,MATCH($A7,Team!$A$5:$A$64,0)),"?"))</f>
        <v>Ergotherapie</v>
      </c>
      <c r="G7" s="13" t="str">
        <f aca="false">IF($A7="","",COUNTIF($A$6:$A7,$A7)&amp;". Wunsch")</f>
        <v>2. Wunsch</v>
      </c>
      <c r="H7" s="13" t="n">
        <f aca="false">IF(OR($A7="",$B7="",$C7="",$C7&lt;$B7),"",NETWORKDAYS($B7,$C7,Einstellungen!$N$7:$N$40))</f>
        <v>5</v>
      </c>
      <c r="I7" s="12" t="str">
        <f aca="false">IF($A7="","",IF(OR($B7="",$C7=""),"Von und Bis eintragen",IF($C7&lt;$B7,"Bis liegt vor Von",IF(ISNA(MATCH($A7,Team!$A$5:$A$64,0)),"Name fehlt im Blatt Team",IF(COUNTIFS($A$6:$A$605,$A7,$B$6:$B$605,"&lt;="&amp;$C7,$C$6:$C$605,"&gt;="&amp;$B7)&gt;1,"Überschneidet sich mit eigenem Wunsch",IF(OR($B7&lt;Einstellungen!$B$3,$C7&gt;Einstellungen!$B$4),"Teils außerhalb des Planungsjahres","ok"))))))</f>
        <v>ok</v>
      </c>
      <c r="J7" s="14"/>
    </row>
    <row r="8" customFormat="false" ht="15" hidden="false" customHeight="false" outlineLevel="0" collapsed="false">
      <c r="A8" s="10" t="s">
        <v>45</v>
      </c>
      <c r="B8" s="11" t="n">
        <v>46748</v>
      </c>
      <c r="C8" s="11" t="n">
        <v>46752</v>
      </c>
      <c r="D8" s="10" t="s">
        <v>49</v>
      </c>
      <c r="E8" s="10"/>
      <c r="F8" s="12" t="str">
        <f aca="false">IF($A8="","",IFERROR(INDEX(Team!$B$5:$B$64,MATCH($A8,Team!$A$5:$A$64,0)),"?"))</f>
        <v>Ergotherapie</v>
      </c>
      <c r="G8" s="13" t="str">
        <f aca="false">IF($A8="","",COUNTIF($A$6:$A8,$A8)&amp;". Wunsch")</f>
        <v>3. Wunsch</v>
      </c>
      <c r="H8" s="13" t="n">
        <f aca="false">IF(OR($A8="",$B8="",$C8="",$C8&lt;$B8),"",NETWORKDAYS($B8,$C8,Einstellungen!$N$7:$N$40))</f>
        <v>5</v>
      </c>
      <c r="I8" s="12" t="str">
        <f aca="false">IF($A8="","",IF(OR($B8="",$C8=""),"Von und Bis eintragen",IF($C8&lt;$B8,"Bis liegt vor Von",IF(ISNA(MATCH($A8,Team!$A$5:$A$64,0)),"Name fehlt im Blatt Team",IF(COUNTIFS($A$6:$A$605,$A8,$B$6:$B$605,"&lt;="&amp;$C8,$C$6:$C$605,"&gt;="&amp;$B8)&gt;1,"Überschneidet sich mit eigenem Wunsch",IF(OR($B8&lt;Einstellungen!$B$3,$C8&gt;Einstellungen!$B$4),"Teils außerhalb des Planungsjahres","ok"))))))</f>
        <v>ok</v>
      </c>
      <c r="J8" s="14"/>
    </row>
    <row r="9" customFormat="false" ht="15" hidden="false" customHeight="false" outlineLevel="0" collapsed="false">
      <c r="A9" s="10" t="s">
        <v>50</v>
      </c>
      <c r="B9" s="11" t="n">
        <v>46594</v>
      </c>
      <c r="C9" s="11" t="n">
        <v>46612</v>
      </c>
      <c r="D9" s="10" t="s">
        <v>48</v>
      </c>
      <c r="E9" s="10"/>
      <c r="F9" s="12" t="str">
        <f aca="false">IF($A9="","",IFERROR(INDEX(Team!$B$5:$B$64,MATCH($A9,Team!$A$5:$A$64,0)),"?"))</f>
        <v>Ergotherapie</v>
      </c>
      <c r="G9" s="13" t="str">
        <f aca="false">IF($A9="","",COUNTIF($A$6:$A9,$A9)&amp;". Wunsch")</f>
        <v>1. Wunsch</v>
      </c>
      <c r="H9" s="13" t="n">
        <f aca="false">IF(OR($A9="",$B9="",$C9="",$C9&lt;$B9),"",NETWORKDAYS($B9,$C9,Einstellungen!$N$7:$N$40))</f>
        <v>15</v>
      </c>
      <c r="I9" s="12" t="str">
        <f aca="false">IF($A9="","",IF(OR($B9="",$C9=""),"Von und Bis eintragen",IF($C9&lt;$B9,"Bis liegt vor Von",IF(ISNA(MATCH($A9,Team!$A$5:$A$64,0)),"Name fehlt im Blatt Team",IF(COUNTIFS($A$6:$A$605,$A9,$B$6:$B$605,"&lt;="&amp;$C9,$C$6:$C$605,"&gt;="&amp;$B9)&gt;1,"Überschneidet sich mit eigenem Wunsch",IF(OR($B9&lt;Einstellungen!$B$3,$C9&gt;Einstellungen!$B$4),"Teils außerhalb des Planungsjahres","ok"))))))</f>
        <v>ok</v>
      </c>
      <c r="J9" s="14"/>
    </row>
    <row r="10" customFormat="false" ht="15" hidden="false" customHeight="false" outlineLevel="0" collapsed="false">
      <c r="A10" s="10" t="s">
        <v>50</v>
      </c>
      <c r="B10" s="11" t="n">
        <v>46514</v>
      </c>
      <c r="C10" s="11" t="n">
        <v>46514</v>
      </c>
      <c r="D10" s="10" t="s">
        <v>48</v>
      </c>
      <c r="E10" s="10" t="s">
        <v>51</v>
      </c>
      <c r="F10" s="12" t="str">
        <f aca="false">IF($A10="","",IFERROR(INDEX(Team!$B$5:$B$64,MATCH($A10,Team!$A$5:$A$64,0)),"?"))</f>
        <v>Ergotherapie</v>
      </c>
      <c r="G10" s="13" t="str">
        <f aca="false">IF($A10="","",COUNTIF($A$6:$A10,$A10)&amp;". Wunsch")</f>
        <v>2. Wunsch</v>
      </c>
      <c r="H10" s="13" t="n">
        <f aca="false">IF(OR($A10="",$B10="",$C10="",$C10&lt;$B10),"",NETWORKDAYS($B10,$C10,Einstellungen!$N$7:$N$40))</f>
        <v>1</v>
      </c>
      <c r="I10" s="12" t="str">
        <f aca="false">IF($A10="","",IF(OR($B10="",$C10=""),"Von und Bis eintragen",IF($C10&lt;$B10,"Bis liegt vor Von",IF(ISNA(MATCH($A10,Team!$A$5:$A$64,0)),"Name fehlt im Blatt Team",IF(COUNTIFS($A$6:$A$605,$A10,$B$6:$B$605,"&lt;="&amp;$C10,$C$6:$C$605,"&gt;="&amp;$B10)&gt;1,"Überschneidet sich mit eigenem Wunsch",IF(OR($B10&lt;Einstellungen!$B$3,$C10&gt;Einstellungen!$B$4),"Teils außerhalb des Planungsjahres","ok"))))))</f>
        <v>ok</v>
      </c>
      <c r="J10" s="14"/>
    </row>
    <row r="11" customFormat="false" ht="15" hidden="false" customHeight="false" outlineLevel="0" collapsed="false">
      <c r="A11" s="10" t="s">
        <v>52</v>
      </c>
      <c r="B11" s="11" t="n">
        <v>46601</v>
      </c>
      <c r="C11" s="11" t="n">
        <v>46619</v>
      </c>
      <c r="D11" s="10" t="s">
        <v>46</v>
      </c>
      <c r="E11" s="10"/>
      <c r="F11" s="12" t="str">
        <f aca="false">IF($A11="","",IFERROR(INDEX(Team!$B$5:$B$64,MATCH($A11,Team!$A$5:$A$64,0)),"?"))</f>
        <v>Ergotherapie</v>
      </c>
      <c r="G11" s="13" t="str">
        <f aca="false">IF($A11="","",COUNTIF($A$6:$A11,$A11)&amp;". Wunsch")</f>
        <v>1. Wunsch</v>
      </c>
      <c r="H11" s="13" t="n">
        <f aca="false">IF(OR($A11="",$B11="",$C11="",$C11&lt;$B11),"",NETWORKDAYS($B11,$C11,Einstellungen!$N$7:$N$40))</f>
        <v>15</v>
      </c>
      <c r="I11" s="12" t="str">
        <f aca="false">IF($A11="","",IF(OR($B11="",$C11=""),"Von und Bis eintragen",IF($C11&lt;$B11,"Bis liegt vor Von",IF(ISNA(MATCH($A11,Team!$A$5:$A$64,0)),"Name fehlt im Blatt Team",IF(COUNTIFS($A$6:$A$605,$A11,$B$6:$B$605,"&lt;="&amp;$C11,$C$6:$C$605,"&gt;="&amp;$B11)&gt;1,"Überschneidet sich mit eigenem Wunsch",IF(OR($B11&lt;Einstellungen!$B$3,$C11&gt;Einstellungen!$B$4),"Teils außerhalb des Planungsjahres","ok"))))))</f>
        <v>ok</v>
      </c>
      <c r="J11" s="14"/>
    </row>
    <row r="12" customFormat="false" ht="15" hidden="false" customHeight="false" outlineLevel="0" collapsed="false">
      <c r="A12" s="10" t="s">
        <v>53</v>
      </c>
      <c r="B12" s="11" t="n">
        <v>46580</v>
      </c>
      <c r="C12" s="11" t="n">
        <v>46598</v>
      </c>
      <c r="D12" s="10" t="s">
        <v>49</v>
      </c>
      <c r="E12" s="10" t="s">
        <v>54</v>
      </c>
      <c r="F12" s="12" t="str">
        <f aca="false">IF($A12="","",IFERROR(INDEX(Team!$B$5:$B$64,MATCH($A12,Team!$A$5:$A$64,0)),"?"))</f>
        <v>Musiktherapie</v>
      </c>
      <c r="G12" s="13" t="str">
        <f aca="false">IF($A12="","",COUNTIF($A$6:$A12,$A12)&amp;". Wunsch")</f>
        <v>1. Wunsch</v>
      </c>
      <c r="H12" s="13" t="n">
        <f aca="false">IF(OR($A12="",$B12="",$C12="",$C12&lt;$B12),"",NETWORKDAYS($B12,$C12,Einstellungen!$N$7:$N$40))</f>
        <v>15</v>
      </c>
      <c r="I12" s="12" t="str">
        <f aca="false">IF($A12="","",IF(OR($B12="",$C12=""),"Von und Bis eintragen",IF($C12&lt;$B12,"Bis liegt vor Von",IF(ISNA(MATCH($A12,Team!$A$5:$A$64,0)),"Name fehlt im Blatt Team",IF(COUNTIFS($A$6:$A$605,$A12,$B$6:$B$605,"&lt;="&amp;$C12,$C$6:$C$605,"&gt;="&amp;$B12)&gt;1,"Überschneidet sich mit eigenem Wunsch",IF(OR($B12&lt;Einstellungen!$B$3,$C12&gt;Einstellungen!$B$4),"Teils außerhalb des Planungsjahres","ok"))))))</f>
        <v>ok</v>
      </c>
      <c r="J12" s="14"/>
    </row>
    <row r="13" customFormat="false" ht="15" hidden="false" customHeight="false" outlineLevel="0" collapsed="false">
      <c r="A13" s="10" t="s">
        <v>53</v>
      </c>
      <c r="B13" s="11" t="n">
        <v>46476</v>
      </c>
      <c r="C13" s="11" t="n">
        <v>46479</v>
      </c>
      <c r="D13" s="10" t="s">
        <v>48</v>
      </c>
      <c r="E13" s="10"/>
      <c r="F13" s="12" t="str">
        <f aca="false">IF($A13="","",IFERROR(INDEX(Team!$B$5:$B$64,MATCH($A13,Team!$A$5:$A$64,0)),"?"))</f>
        <v>Musiktherapie</v>
      </c>
      <c r="G13" s="13" t="str">
        <f aca="false">IF($A13="","",COUNTIF($A$6:$A13,$A13)&amp;". Wunsch")</f>
        <v>2. Wunsch</v>
      </c>
      <c r="H13" s="13" t="n">
        <f aca="false">IF(OR($A13="",$B13="",$C13="",$C13&lt;$B13),"",NETWORKDAYS($B13,$C13,Einstellungen!$N$7:$N$40))</f>
        <v>4</v>
      </c>
      <c r="I13" s="12" t="str">
        <f aca="false">IF($A13="","",IF(OR($B13="",$C13=""),"Von und Bis eintragen",IF($C13&lt;$B13,"Bis liegt vor Von",IF(ISNA(MATCH($A13,Team!$A$5:$A$64,0)),"Name fehlt im Blatt Team",IF(COUNTIFS($A$6:$A$605,$A13,$B$6:$B$605,"&lt;="&amp;$C13,$C$6:$C$605,"&gt;="&amp;$B13)&gt;1,"Überschneidet sich mit eigenem Wunsch",IF(OR($B13&lt;Einstellungen!$B$3,$C13&gt;Einstellungen!$B$4),"Teils außerhalb des Planungsjahres","ok"))))))</f>
        <v>ok</v>
      </c>
      <c r="J13" s="14"/>
    </row>
    <row r="14" customFormat="false" ht="15" hidden="false" customHeight="false" outlineLevel="0" collapsed="false">
      <c r="A14" s="10" t="s">
        <v>55</v>
      </c>
      <c r="B14" s="11" t="n">
        <v>46671</v>
      </c>
      <c r="C14" s="11" t="n">
        <v>46682</v>
      </c>
      <c r="D14" s="10" t="s">
        <v>46</v>
      </c>
      <c r="E14" s="10"/>
      <c r="F14" s="12" t="str">
        <f aca="false">IF($A14="","",IFERROR(INDEX(Team!$B$5:$B$64,MATCH($A14,Team!$A$5:$A$64,0)),"?"))</f>
        <v>Musiktherapie</v>
      </c>
      <c r="G14" s="13" t="str">
        <f aca="false">IF($A14="","",COUNTIF($A$6:$A14,$A14)&amp;". Wunsch")</f>
        <v>1. Wunsch</v>
      </c>
      <c r="H14" s="13" t="n">
        <f aca="false">IF(OR($A14="",$B14="",$C14="",$C14&lt;$B14),"",NETWORKDAYS($B14,$C14,Einstellungen!$N$7:$N$40))</f>
        <v>10</v>
      </c>
      <c r="I14" s="12" t="str">
        <f aca="false">IF($A14="","",IF(OR($B14="",$C14=""),"Von und Bis eintragen",IF($C14&lt;$B14,"Bis liegt vor Von",IF(ISNA(MATCH($A14,Team!$A$5:$A$64,0)),"Name fehlt im Blatt Team",IF(COUNTIFS($A$6:$A$605,$A14,$B$6:$B$605,"&lt;="&amp;$C14,$C$6:$C$605,"&gt;="&amp;$B14)&gt;1,"Überschneidet sich mit eigenem Wunsch",IF(OR($B14&lt;Einstellungen!$B$3,$C14&gt;Einstellungen!$B$4),"Teils außerhalb des Planungsjahres","ok"))))))</f>
        <v>ok</v>
      </c>
      <c r="J14" s="14"/>
    </row>
    <row r="15" customFormat="false" ht="15" hidden="false" customHeight="false" outlineLevel="0" collapsed="false">
      <c r="A15" s="10" t="s">
        <v>56</v>
      </c>
      <c r="B15" s="11" t="n">
        <v>46587</v>
      </c>
      <c r="C15" s="11" t="n">
        <v>46598</v>
      </c>
      <c r="D15" s="10" t="s">
        <v>48</v>
      </c>
      <c r="E15" s="10" t="s">
        <v>57</v>
      </c>
      <c r="F15" s="12" t="str">
        <f aca="false">IF($A15="","",IFERROR(INDEX(Team!$B$5:$B$64,MATCH($A15,Team!$A$5:$A$64,0)),"?"))</f>
        <v>Bewegungstherapie</v>
      </c>
      <c r="G15" s="13" t="str">
        <f aca="false">IF($A15="","",COUNTIF($A$6:$A15,$A15)&amp;". Wunsch")</f>
        <v>1. Wunsch</v>
      </c>
      <c r="H15" s="13" t="n">
        <f aca="false">IF(OR($A15="",$B15="",$C15="",$C15&lt;$B15),"",NETWORKDAYS($B15,$C15,Einstellungen!$N$7:$N$40))</f>
        <v>10</v>
      </c>
      <c r="I15" s="12" t="str">
        <f aca="false">IF($A15="","",IF(OR($B15="",$C15=""),"Von und Bis eintragen",IF($C15&lt;$B15,"Bis liegt vor Von",IF(ISNA(MATCH($A15,Team!$A$5:$A$64,0)),"Name fehlt im Blatt Team",IF(COUNTIFS($A$6:$A$605,$A15,$B$6:$B$605,"&lt;="&amp;$C15,$C$6:$C$605,"&gt;="&amp;$B15)&gt;1,"Überschneidet sich mit eigenem Wunsch",IF(OR($B15&lt;Einstellungen!$B$3,$C15&gt;Einstellungen!$B$4),"Teils außerhalb des Planungsjahres","ok"))))))</f>
        <v>ok</v>
      </c>
      <c r="J15" s="14"/>
    </row>
    <row r="16" customFormat="false" ht="15" hidden="false" customHeight="false" outlineLevel="0" collapsed="false">
      <c r="A16" s="10" t="s">
        <v>58</v>
      </c>
      <c r="B16" s="11" t="n">
        <v>46615</v>
      </c>
      <c r="C16" s="11" t="n">
        <v>46633</v>
      </c>
      <c r="D16" s="10" t="s">
        <v>49</v>
      </c>
      <c r="E16" s="10"/>
      <c r="F16" s="12" t="str">
        <f aca="false">IF($A16="","",IFERROR(INDEX(Team!$B$5:$B$64,MATCH($A16,Team!$A$5:$A$64,0)),"?"))</f>
        <v>Bewegungstherapie</v>
      </c>
      <c r="G16" s="13" t="str">
        <f aca="false">IF($A16="","",COUNTIF($A$6:$A16,$A16)&amp;". Wunsch")</f>
        <v>1. Wunsch</v>
      </c>
      <c r="H16" s="13" t="n">
        <f aca="false">IF(OR($A16="",$B16="",$C16="",$C16&lt;$B16),"",NETWORKDAYS($B16,$C16,Einstellungen!$N$7:$N$40))</f>
        <v>15</v>
      </c>
      <c r="I16" s="12" t="str">
        <f aca="false">IF($A16="","",IF(OR($B16="",$C16=""),"Von und Bis eintragen",IF($C16&lt;$B16,"Bis liegt vor Von",IF(ISNA(MATCH($A16,Team!$A$5:$A$64,0)),"Name fehlt im Blatt Team",IF(COUNTIFS($A$6:$A$605,$A16,$B$6:$B$605,"&lt;="&amp;$C16,$C$6:$C$605,"&gt;="&amp;$B16)&gt;1,"Überschneidet sich mit eigenem Wunsch",IF(OR($B16&lt;Einstellungen!$B$3,$C16&gt;Einstellungen!$B$4),"Teils außerhalb des Planungsjahres","ok"))))))</f>
        <v>ok</v>
      </c>
      <c r="J16" s="14"/>
    </row>
    <row r="17" customFormat="false" ht="15" hidden="false" customHeight="false" outlineLevel="0" collapsed="false">
      <c r="A17" s="15"/>
      <c r="B17" s="14"/>
      <c r="C17" s="14"/>
      <c r="D17" s="15"/>
      <c r="E17" s="15"/>
      <c r="F17" s="12" t="str">
        <f aca="false">IF($A17="","",IFERROR(INDEX(Team!$B$5:$B$64,MATCH($A17,Team!$A$5:$A$64,0)),"?"))</f>
        <v/>
      </c>
      <c r="G17" s="13" t="str">
        <f aca="false">IF($A17="","",COUNTIF($A$6:$A17,$A17)&amp;". Wunsch")</f>
        <v/>
      </c>
      <c r="H17" s="13" t="str">
        <f aca="false">IF(OR($A17="",$B17="",$C17="",$C17&lt;$B17),"",NETWORKDAYS($B17,$C17,Einstellungen!$N$7:$N$40))</f>
        <v/>
      </c>
      <c r="I17" s="12" t="str">
        <f aca="false">IF($A17="","",IF(OR($B17="",$C17=""),"Von und Bis eintragen",IF($C17&lt;$B17,"Bis liegt vor Von",IF(ISNA(MATCH($A17,Team!$A$5:$A$64,0)),"Name fehlt im Blatt Team",IF(COUNTIFS($A$6:$A$605,$A17,$B$6:$B$605,"&lt;="&amp;$C17,$C$6:$C$605,"&gt;="&amp;$B17)&gt;1,"Überschneidet sich mit eigenem Wunsch",IF(OR($B17&lt;Einstellungen!$B$3,$C17&gt;Einstellungen!$B$4),"Teils außerhalb des Planungsjahres","ok"))))))</f>
        <v/>
      </c>
      <c r="J17" s="14"/>
    </row>
    <row r="18" customFormat="false" ht="15" hidden="false" customHeight="false" outlineLevel="0" collapsed="false">
      <c r="A18" s="15"/>
      <c r="B18" s="14"/>
      <c r="C18" s="14"/>
      <c r="D18" s="15"/>
      <c r="E18" s="15"/>
      <c r="F18" s="12" t="str">
        <f aca="false">IF($A18="","",IFERROR(INDEX(Team!$B$5:$B$64,MATCH($A18,Team!$A$5:$A$64,0)),"?"))</f>
        <v/>
      </c>
      <c r="G18" s="13" t="str">
        <f aca="false">IF($A18="","",COUNTIF($A$6:$A18,$A18)&amp;". Wunsch")</f>
        <v/>
      </c>
      <c r="H18" s="13" t="str">
        <f aca="false">IF(OR($A18="",$B18="",$C18="",$C18&lt;$B18),"",NETWORKDAYS($B18,$C18,Einstellungen!$N$7:$N$40))</f>
        <v/>
      </c>
      <c r="I18" s="12" t="str">
        <f aca="false">IF($A18="","",IF(OR($B18="",$C18=""),"Von und Bis eintragen",IF($C18&lt;$B18,"Bis liegt vor Von",IF(ISNA(MATCH($A18,Team!$A$5:$A$64,0)),"Name fehlt im Blatt Team",IF(COUNTIFS($A$6:$A$605,$A18,$B$6:$B$605,"&lt;="&amp;$C18,$C$6:$C$605,"&gt;="&amp;$B18)&gt;1,"Überschneidet sich mit eigenem Wunsch",IF(OR($B18&lt;Einstellungen!$B$3,$C18&gt;Einstellungen!$B$4),"Teils außerhalb des Planungsjahres","ok"))))))</f>
        <v/>
      </c>
      <c r="J18" s="14"/>
    </row>
    <row r="19" customFormat="false" ht="15" hidden="false" customHeight="false" outlineLevel="0" collapsed="false">
      <c r="A19" s="15"/>
      <c r="B19" s="14"/>
      <c r="C19" s="14"/>
      <c r="D19" s="15"/>
      <c r="E19" s="15"/>
      <c r="F19" s="12" t="str">
        <f aca="false">IF($A19="","",IFERROR(INDEX(Team!$B$5:$B$64,MATCH($A19,Team!$A$5:$A$64,0)),"?"))</f>
        <v/>
      </c>
      <c r="G19" s="13" t="str">
        <f aca="false">IF($A19="","",COUNTIF($A$6:$A19,$A19)&amp;". Wunsch")</f>
        <v/>
      </c>
      <c r="H19" s="13" t="str">
        <f aca="false">IF(OR($A19="",$B19="",$C19="",$C19&lt;$B19),"",NETWORKDAYS($B19,$C19,Einstellungen!$N$7:$N$40))</f>
        <v/>
      </c>
      <c r="I19" s="12" t="str">
        <f aca="false">IF($A19="","",IF(OR($B19="",$C19=""),"Von und Bis eintragen",IF($C19&lt;$B19,"Bis liegt vor Von",IF(ISNA(MATCH($A19,Team!$A$5:$A$64,0)),"Name fehlt im Blatt Team",IF(COUNTIFS($A$6:$A$605,$A19,$B$6:$B$605,"&lt;="&amp;$C19,$C$6:$C$605,"&gt;="&amp;$B19)&gt;1,"Überschneidet sich mit eigenem Wunsch",IF(OR($B19&lt;Einstellungen!$B$3,$C19&gt;Einstellungen!$B$4),"Teils außerhalb des Planungsjahres","ok"))))))</f>
        <v/>
      </c>
      <c r="J19" s="14"/>
    </row>
    <row r="20" customFormat="false" ht="15" hidden="false" customHeight="false" outlineLevel="0" collapsed="false">
      <c r="A20" s="15"/>
      <c r="B20" s="14"/>
      <c r="C20" s="14"/>
      <c r="D20" s="15"/>
      <c r="E20" s="15"/>
      <c r="F20" s="12" t="str">
        <f aca="false">IF($A20="","",IFERROR(INDEX(Team!$B$5:$B$64,MATCH($A20,Team!$A$5:$A$64,0)),"?"))</f>
        <v/>
      </c>
      <c r="G20" s="13" t="str">
        <f aca="false">IF($A20="","",COUNTIF($A$6:$A20,$A20)&amp;". Wunsch")</f>
        <v/>
      </c>
      <c r="H20" s="13" t="str">
        <f aca="false">IF(OR($A20="",$B20="",$C20="",$C20&lt;$B20),"",NETWORKDAYS($B20,$C20,Einstellungen!$N$7:$N$40))</f>
        <v/>
      </c>
      <c r="I20" s="12" t="str">
        <f aca="false">IF($A20="","",IF(OR($B20="",$C20=""),"Von und Bis eintragen",IF($C20&lt;$B20,"Bis liegt vor Von",IF(ISNA(MATCH($A20,Team!$A$5:$A$64,0)),"Name fehlt im Blatt Team",IF(COUNTIFS($A$6:$A$605,$A20,$B$6:$B$605,"&lt;="&amp;$C20,$C$6:$C$605,"&gt;="&amp;$B20)&gt;1,"Überschneidet sich mit eigenem Wunsch",IF(OR($B20&lt;Einstellungen!$B$3,$C20&gt;Einstellungen!$B$4),"Teils außerhalb des Planungsjahres","ok"))))))</f>
        <v/>
      </c>
      <c r="J20" s="14"/>
    </row>
    <row r="21" customFormat="false" ht="15" hidden="false" customHeight="false" outlineLevel="0" collapsed="false">
      <c r="A21" s="15"/>
      <c r="B21" s="14"/>
      <c r="C21" s="14"/>
      <c r="D21" s="15"/>
      <c r="E21" s="15"/>
      <c r="F21" s="12" t="str">
        <f aca="false">IF($A21="","",IFERROR(INDEX(Team!$B$5:$B$64,MATCH($A21,Team!$A$5:$A$64,0)),"?"))</f>
        <v/>
      </c>
      <c r="G21" s="13" t="str">
        <f aca="false">IF($A21="","",COUNTIF($A$6:$A21,$A21)&amp;". Wunsch")</f>
        <v/>
      </c>
      <c r="H21" s="13" t="str">
        <f aca="false">IF(OR($A21="",$B21="",$C21="",$C21&lt;$B21),"",NETWORKDAYS($B21,$C21,Einstellungen!$N$7:$N$40))</f>
        <v/>
      </c>
      <c r="I21" s="12" t="str">
        <f aca="false">IF($A21="","",IF(OR($B21="",$C21=""),"Von und Bis eintragen",IF($C21&lt;$B21,"Bis liegt vor Von",IF(ISNA(MATCH($A21,Team!$A$5:$A$64,0)),"Name fehlt im Blatt Team",IF(COUNTIFS($A$6:$A$605,$A21,$B$6:$B$605,"&lt;="&amp;$C21,$C$6:$C$605,"&gt;="&amp;$B21)&gt;1,"Überschneidet sich mit eigenem Wunsch",IF(OR($B21&lt;Einstellungen!$B$3,$C21&gt;Einstellungen!$B$4),"Teils außerhalb des Planungsjahres","ok"))))))</f>
        <v/>
      </c>
      <c r="J21" s="14"/>
    </row>
    <row r="22" customFormat="false" ht="15" hidden="false" customHeight="false" outlineLevel="0" collapsed="false">
      <c r="A22" s="15"/>
      <c r="B22" s="14"/>
      <c r="C22" s="14"/>
      <c r="D22" s="15"/>
      <c r="E22" s="15"/>
      <c r="F22" s="12" t="str">
        <f aca="false">IF($A22="","",IFERROR(INDEX(Team!$B$5:$B$64,MATCH($A22,Team!$A$5:$A$64,0)),"?"))</f>
        <v/>
      </c>
      <c r="G22" s="13" t="str">
        <f aca="false">IF($A22="","",COUNTIF($A$6:$A22,$A22)&amp;". Wunsch")</f>
        <v/>
      </c>
      <c r="H22" s="13" t="str">
        <f aca="false">IF(OR($A22="",$B22="",$C22="",$C22&lt;$B22),"",NETWORKDAYS($B22,$C22,Einstellungen!$N$7:$N$40))</f>
        <v/>
      </c>
      <c r="I22" s="12" t="str">
        <f aca="false">IF($A22="","",IF(OR($B22="",$C22=""),"Von und Bis eintragen",IF($C22&lt;$B22,"Bis liegt vor Von",IF(ISNA(MATCH($A22,Team!$A$5:$A$64,0)),"Name fehlt im Blatt Team",IF(COUNTIFS($A$6:$A$605,$A22,$B$6:$B$605,"&lt;="&amp;$C22,$C$6:$C$605,"&gt;="&amp;$B22)&gt;1,"Überschneidet sich mit eigenem Wunsch",IF(OR($B22&lt;Einstellungen!$B$3,$C22&gt;Einstellungen!$B$4),"Teils außerhalb des Planungsjahres","ok"))))))</f>
        <v/>
      </c>
      <c r="J22" s="14"/>
    </row>
    <row r="23" customFormat="false" ht="15" hidden="false" customHeight="false" outlineLevel="0" collapsed="false">
      <c r="A23" s="15"/>
      <c r="B23" s="14"/>
      <c r="C23" s="14"/>
      <c r="D23" s="15"/>
      <c r="E23" s="15"/>
      <c r="F23" s="12" t="str">
        <f aca="false">IF($A23="","",IFERROR(INDEX(Team!$B$5:$B$64,MATCH($A23,Team!$A$5:$A$64,0)),"?"))</f>
        <v/>
      </c>
      <c r="G23" s="13" t="str">
        <f aca="false">IF($A23="","",COUNTIF($A$6:$A23,$A23)&amp;". Wunsch")</f>
        <v/>
      </c>
      <c r="H23" s="13" t="str">
        <f aca="false">IF(OR($A23="",$B23="",$C23="",$C23&lt;$B23),"",NETWORKDAYS($B23,$C23,Einstellungen!$N$7:$N$40))</f>
        <v/>
      </c>
      <c r="I23" s="12" t="str">
        <f aca="false">IF($A23="","",IF(OR($B23="",$C23=""),"Von und Bis eintragen",IF($C23&lt;$B23,"Bis liegt vor Von",IF(ISNA(MATCH($A23,Team!$A$5:$A$64,0)),"Name fehlt im Blatt Team",IF(COUNTIFS($A$6:$A$605,$A23,$B$6:$B$605,"&lt;="&amp;$C23,$C$6:$C$605,"&gt;="&amp;$B23)&gt;1,"Überschneidet sich mit eigenem Wunsch",IF(OR($B23&lt;Einstellungen!$B$3,$C23&gt;Einstellungen!$B$4),"Teils außerhalb des Planungsjahres","ok"))))))</f>
        <v/>
      </c>
      <c r="J23" s="14"/>
    </row>
    <row r="24" customFormat="false" ht="15" hidden="false" customHeight="false" outlineLevel="0" collapsed="false">
      <c r="A24" s="15"/>
      <c r="B24" s="14"/>
      <c r="C24" s="14"/>
      <c r="D24" s="15"/>
      <c r="E24" s="15"/>
      <c r="F24" s="12" t="str">
        <f aca="false">IF($A24="","",IFERROR(INDEX(Team!$B$5:$B$64,MATCH($A24,Team!$A$5:$A$64,0)),"?"))</f>
        <v/>
      </c>
      <c r="G24" s="13" t="str">
        <f aca="false">IF($A24="","",COUNTIF($A$6:$A24,$A24)&amp;". Wunsch")</f>
        <v/>
      </c>
      <c r="H24" s="13" t="str">
        <f aca="false">IF(OR($A24="",$B24="",$C24="",$C24&lt;$B24),"",NETWORKDAYS($B24,$C24,Einstellungen!$N$7:$N$40))</f>
        <v/>
      </c>
      <c r="I24" s="12" t="str">
        <f aca="false">IF($A24="","",IF(OR($B24="",$C24=""),"Von und Bis eintragen",IF($C24&lt;$B24,"Bis liegt vor Von",IF(ISNA(MATCH($A24,Team!$A$5:$A$64,0)),"Name fehlt im Blatt Team",IF(COUNTIFS($A$6:$A$605,$A24,$B$6:$B$605,"&lt;="&amp;$C24,$C$6:$C$605,"&gt;="&amp;$B24)&gt;1,"Überschneidet sich mit eigenem Wunsch",IF(OR($B24&lt;Einstellungen!$B$3,$C24&gt;Einstellungen!$B$4),"Teils außerhalb des Planungsjahres","ok"))))))</f>
        <v/>
      </c>
      <c r="J24" s="14"/>
    </row>
    <row r="25" customFormat="false" ht="15" hidden="false" customHeight="false" outlineLevel="0" collapsed="false">
      <c r="A25" s="15"/>
      <c r="B25" s="14"/>
      <c r="C25" s="14"/>
      <c r="D25" s="15"/>
      <c r="E25" s="15"/>
      <c r="F25" s="12" t="str">
        <f aca="false">IF($A25="","",IFERROR(INDEX(Team!$B$5:$B$64,MATCH($A25,Team!$A$5:$A$64,0)),"?"))</f>
        <v/>
      </c>
      <c r="G25" s="13" t="str">
        <f aca="false">IF($A25="","",COUNTIF($A$6:$A25,$A25)&amp;". Wunsch")</f>
        <v/>
      </c>
      <c r="H25" s="13" t="str">
        <f aca="false">IF(OR($A25="",$B25="",$C25="",$C25&lt;$B25),"",NETWORKDAYS($B25,$C25,Einstellungen!$N$7:$N$40))</f>
        <v/>
      </c>
      <c r="I25" s="12" t="str">
        <f aca="false">IF($A25="","",IF(OR($B25="",$C25=""),"Von und Bis eintragen",IF($C25&lt;$B25,"Bis liegt vor Von",IF(ISNA(MATCH($A25,Team!$A$5:$A$64,0)),"Name fehlt im Blatt Team",IF(COUNTIFS($A$6:$A$605,$A25,$B$6:$B$605,"&lt;="&amp;$C25,$C$6:$C$605,"&gt;="&amp;$B25)&gt;1,"Überschneidet sich mit eigenem Wunsch",IF(OR($B25&lt;Einstellungen!$B$3,$C25&gt;Einstellungen!$B$4),"Teils außerhalb des Planungsjahres","ok"))))))</f>
        <v/>
      </c>
      <c r="J25" s="14"/>
    </row>
    <row r="26" customFormat="false" ht="15" hidden="false" customHeight="false" outlineLevel="0" collapsed="false">
      <c r="A26" s="15"/>
      <c r="B26" s="14"/>
      <c r="C26" s="14"/>
      <c r="D26" s="15"/>
      <c r="E26" s="15"/>
      <c r="F26" s="12" t="str">
        <f aca="false">IF($A26="","",IFERROR(INDEX(Team!$B$5:$B$64,MATCH($A26,Team!$A$5:$A$64,0)),"?"))</f>
        <v/>
      </c>
      <c r="G26" s="13" t="str">
        <f aca="false">IF($A26="","",COUNTIF($A$6:$A26,$A26)&amp;". Wunsch")</f>
        <v/>
      </c>
      <c r="H26" s="13" t="str">
        <f aca="false">IF(OR($A26="",$B26="",$C26="",$C26&lt;$B26),"",NETWORKDAYS($B26,$C26,Einstellungen!$N$7:$N$40))</f>
        <v/>
      </c>
      <c r="I26" s="12" t="str">
        <f aca="false">IF($A26="","",IF(OR($B26="",$C26=""),"Von und Bis eintragen",IF($C26&lt;$B26,"Bis liegt vor Von",IF(ISNA(MATCH($A26,Team!$A$5:$A$64,0)),"Name fehlt im Blatt Team",IF(COUNTIFS($A$6:$A$605,$A26,$B$6:$B$605,"&lt;="&amp;$C26,$C$6:$C$605,"&gt;="&amp;$B26)&gt;1,"Überschneidet sich mit eigenem Wunsch",IF(OR($B26&lt;Einstellungen!$B$3,$C26&gt;Einstellungen!$B$4),"Teils außerhalb des Planungsjahres","ok"))))))</f>
        <v/>
      </c>
      <c r="J26" s="14"/>
    </row>
    <row r="27" customFormat="false" ht="15" hidden="false" customHeight="false" outlineLevel="0" collapsed="false">
      <c r="A27" s="15"/>
      <c r="B27" s="14"/>
      <c r="C27" s="14"/>
      <c r="D27" s="15"/>
      <c r="E27" s="15"/>
      <c r="F27" s="12" t="str">
        <f aca="false">IF($A27="","",IFERROR(INDEX(Team!$B$5:$B$64,MATCH($A27,Team!$A$5:$A$64,0)),"?"))</f>
        <v/>
      </c>
      <c r="G27" s="13" t="str">
        <f aca="false">IF($A27="","",COUNTIF($A$6:$A27,$A27)&amp;". Wunsch")</f>
        <v/>
      </c>
      <c r="H27" s="13" t="str">
        <f aca="false">IF(OR($A27="",$B27="",$C27="",$C27&lt;$B27),"",NETWORKDAYS($B27,$C27,Einstellungen!$N$7:$N$40))</f>
        <v/>
      </c>
      <c r="I27" s="12" t="str">
        <f aca="false">IF($A27="","",IF(OR($B27="",$C27=""),"Von und Bis eintragen",IF($C27&lt;$B27,"Bis liegt vor Von",IF(ISNA(MATCH($A27,Team!$A$5:$A$64,0)),"Name fehlt im Blatt Team",IF(COUNTIFS($A$6:$A$605,$A27,$B$6:$B$605,"&lt;="&amp;$C27,$C$6:$C$605,"&gt;="&amp;$B27)&gt;1,"Überschneidet sich mit eigenem Wunsch",IF(OR($B27&lt;Einstellungen!$B$3,$C27&gt;Einstellungen!$B$4),"Teils außerhalb des Planungsjahres","ok"))))))</f>
        <v/>
      </c>
      <c r="J27" s="14"/>
    </row>
    <row r="28" customFormat="false" ht="15" hidden="false" customHeight="false" outlineLevel="0" collapsed="false">
      <c r="A28" s="15"/>
      <c r="B28" s="14"/>
      <c r="C28" s="14"/>
      <c r="D28" s="15"/>
      <c r="E28" s="15"/>
      <c r="F28" s="12" t="str">
        <f aca="false">IF($A28="","",IFERROR(INDEX(Team!$B$5:$B$64,MATCH($A28,Team!$A$5:$A$64,0)),"?"))</f>
        <v/>
      </c>
      <c r="G28" s="13" t="str">
        <f aca="false">IF($A28="","",COUNTIF($A$6:$A28,$A28)&amp;". Wunsch")</f>
        <v/>
      </c>
      <c r="H28" s="13" t="str">
        <f aca="false">IF(OR($A28="",$B28="",$C28="",$C28&lt;$B28),"",NETWORKDAYS($B28,$C28,Einstellungen!$N$7:$N$40))</f>
        <v/>
      </c>
      <c r="I28" s="12" t="str">
        <f aca="false">IF($A28="","",IF(OR($B28="",$C28=""),"Von und Bis eintragen",IF($C28&lt;$B28,"Bis liegt vor Von",IF(ISNA(MATCH($A28,Team!$A$5:$A$64,0)),"Name fehlt im Blatt Team",IF(COUNTIFS($A$6:$A$605,$A28,$B$6:$B$605,"&lt;="&amp;$C28,$C$6:$C$605,"&gt;="&amp;$B28)&gt;1,"Überschneidet sich mit eigenem Wunsch",IF(OR($B28&lt;Einstellungen!$B$3,$C28&gt;Einstellungen!$B$4),"Teils außerhalb des Planungsjahres","ok"))))))</f>
        <v/>
      </c>
      <c r="J28" s="14"/>
    </row>
    <row r="29" customFormat="false" ht="15" hidden="false" customHeight="false" outlineLevel="0" collapsed="false">
      <c r="A29" s="15"/>
      <c r="B29" s="14"/>
      <c r="C29" s="14"/>
      <c r="D29" s="15"/>
      <c r="E29" s="15"/>
      <c r="F29" s="12" t="str">
        <f aca="false">IF($A29="","",IFERROR(INDEX(Team!$B$5:$B$64,MATCH($A29,Team!$A$5:$A$64,0)),"?"))</f>
        <v/>
      </c>
      <c r="G29" s="13" t="str">
        <f aca="false">IF($A29="","",COUNTIF($A$6:$A29,$A29)&amp;". Wunsch")</f>
        <v/>
      </c>
      <c r="H29" s="13" t="str">
        <f aca="false">IF(OR($A29="",$B29="",$C29="",$C29&lt;$B29),"",NETWORKDAYS($B29,$C29,Einstellungen!$N$7:$N$40))</f>
        <v/>
      </c>
      <c r="I29" s="12" t="str">
        <f aca="false">IF($A29="","",IF(OR($B29="",$C29=""),"Von und Bis eintragen",IF($C29&lt;$B29,"Bis liegt vor Von",IF(ISNA(MATCH($A29,Team!$A$5:$A$64,0)),"Name fehlt im Blatt Team",IF(COUNTIFS($A$6:$A$605,$A29,$B$6:$B$605,"&lt;="&amp;$C29,$C$6:$C$605,"&gt;="&amp;$B29)&gt;1,"Überschneidet sich mit eigenem Wunsch",IF(OR($B29&lt;Einstellungen!$B$3,$C29&gt;Einstellungen!$B$4),"Teils außerhalb des Planungsjahres","ok"))))))</f>
        <v/>
      </c>
      <c r="J29" s="14"/>
    </row>
    <row r="30" customFormat="false" ht="15" hidden="false" customHeight="false" outlineLevel="0" collapsed="false">
      <c r="A30" s="15"/>
      <c r="B30" s="14"/>
      <c r="C30" s="14"/>
      <c r="D30" s="15"/>
      <c r="E30" s="15"/>
      <c r="F30" s="12" t="str">
        <f aca="false">IF($A30="","",IFERROR(INDEX(Team!$B$5:$B$64,MATCH($A30,Team!$A$5:$A$64,0)),"?"))</f>
        <v/>
      </c>
      <c r="G30" s="13" t="str">
        <f aca="false">IF($A30="","",COUNTIF($A$6:$A30,$A30)&amp;". Wunsch")</f>
        <v/>
      </c>
      <c r="H30" s="13" t="str">
        <f aca="false">IF(OR($A30="",$B30="",$C30="",$C30&lt;$B30),"",NETWORKDAYS($B30,$C30,Einstellungen!$N$7:$N$40))</f>
        <v/>
      </c>
      <c r="I30" s="12" t="str">
        <f aca="false">IF($A30="","",IF(OR($B30="",$C30=""),"Von und Bis eintragen",IF($C30&lt;$B30,"Bis liegt vor Von",IF(ISNA(MATCH($A30,Team!$A$5:$A$64,0)),"Name fehlt im Blatt Team",IF(COUNTIFS($A$6:$A$605,$A30,$B$6:$B$605,"&lt;="&amp;$C30,$C$6:$C$605,"&gt;="&amp;$B30)&gt;1,"Überschneidet sich mit eigenem Wunsch",IF(OR($B30&lt;Einstellungen!$B$3,$C30&gt;Einstellungen!$B$4),"Teils außerhalb des Planungsjahres","ok"))))))</f>
        <v/>
      </c>
      <c r="J30" s="14"/>
    </row>
    <row r="31" customFormat="false" ht="15" hidden="false" customHeight="false" outlineLevel="0" collapsed="false">
      <c r="A31" s="15"/>
      <c r="B31" s="14"/>
      <c r="C31" s="14"/>
      <c r="D31" s="15"/>
      <c r="E31" s="15"/>
      <c r="F31" s="12" t="str">
        <f aca="false">IF($A31="","",IFERROR(INDEX(Team!$B$5:$B$64,MATCH($A31,Team!$A$5:$A$64,0)),"?"))</f>
        <v/>
      </c>
      <c r="G31" s="13" t="str">
        <f aca="false">IF($A31="","",COUNTIF($A$6:$A31,$A31)&amp;". Wunsch")</f>
        <v/>
      </c>
      <c r="H31" s="13" t="str">
        <f aca="false">IF(OR($A31="",$B31="",$C31="",$C31&lt;$B31),"",NETWORKDAYS($B31,$C31,Einstellungen!$N$7:$N$40))</f>
        <v/>
      </c>
      <c r="I31" s="12" t="str">
        <f aca="false">IF($A31="","",IF(OR($B31="",$C31=""),"Von und Bis eintragen",IF($C31&lt;$B31,"Bis liegt vor Von",IF(ISNA(MATCH($A31,Team!$A$5:$A$64,0)),"Name fehlt im Blatt Team",IF(COUNTIFS($A$6:$A$605,$A31,$B$6:$B$605,"&lt;="&amp;$C31,$C$6:$C$605,"&gt;="&amp;$B31)&gt;1,"Überschneidet sich mit eigenem Wunsch",IF(OR($B31&lt;Einstellungen!$B$3,$C31&gt;Einstellungen!$B$4),"Teils außerhalb des Planungsjahres","ok"))))))</f>
        <v/>
      </c>
      <c r="J31" s="14"/>
    </row>
    <row r="32" customFormat="false" ht="15" hidden="false" customHeight="false" outlineLevel="0" collapsed="false">
      <c r="A32" s="15"/>
      <c r="B32" s="14"/>
      <c r="C32" s="14"/>
      <c r="D32" s="15"/>
      <c r="E32" s="15"/>
      <c r="F32" s="12" t="str">
        <f aca="false">IF($A32="","",IFERROR(INDEX(Team!$B$5:$B$64,MATCH($A32,Team!$A$5:$A$64,0)),"?"))</f>
        <v/>
      </c>
      <c r="G32" s="13" t="str">
        <f aca="false">IF($A32="","",COUNTIF($A$6:$A32,$A32)&amp;". Wunsch")</f>
        <v/>
      </c>
      <c r="H32" s="13" t="str">
        <f aca="false">IF(OR($A32="",$B32="",$C32="",$C32&lt;$B32),"",NETWORKDAYS($B32,$C32,Einstellungen!$N$7:$N$40))</f>
        <v/>
      </c>
      <c r="I32" s="12" t="str">
        <f aca="false">IF($A32="","",IF(OR($B32="",$C32=""),"Von und Bis eintragen",IF($C32&lt;$B32,"Bis liegt vor Von",IF(ISNA(MATCH($A32,Team!$A$5:$A$64,0)),"Name fehlt im Blatt Team",IF(COUNTIFS($A$6:$A$605,$A32,$B$6:$B$605,"&lt;="&amp;$C32,$C$6:$C$605,"&gt;="&amp;$B32)&gt;1,"Überschneidet sich mit eigenem Wunsch",IF(OR($B32&lt;Einstellungen!$B$3,$C32&gt;Einstellungen!$B$4),"Teils außerhalb des Planungsjahres","ok"))))))</f>
        <v/>
      </c>
      <c r="J32" s="14"/>
    </row>
    <row r="33" customFormat="false" ht="15" hidden="false" customHeight="false" outlineLevel="0" collapsed="false">
      <c r="A33" s="15"/>
      <c r="B33" s="14"/>
      <c r="C33" s="14"/>
      <c r="D33" s="15"/>
      <c r="E33" s="15"/>
      <c r="F33" s="12" t="str">
        <f aca="false">IF($A33="","",IFERROR(INDEX(Team!$B$5:$B$64,MATCH($A33,Team!$A$5:$A$64,0)),"?"))</f>
        <v/>
      </c>
      <c r="G33" s="13" t="str">
        <f aca="false">IF($A33="","",COUNTIF($A$6:$A33,$A33)&amp;". Wunsch")</f>
        <v/>
      </c>
      <c r="H33" s="13" t="str">
        <f aca="false">IF(OR($A33="",$B33="",$C33="",$C33&lt;$B33),"",NETWORKDAYS($B33,$C33,Einstellungen!$N$7:$N$40))</f>
        <v/>
      </c>
      <c r="I33" s="12" t="str">
        <f aca="false">IF($A33="","",IF(OR($B33="",$C33=""),"Von und Bis eintragen",IF($C33&lt;$B33,"Bis liegt vor Von",IF(ISNA(MATCH($A33,Team!$A$5:$A$64,0)),"Name fehlt im Blatt Team",IF(COUNTIFS($A$6:$A$605,$A33,$B$6:$B$605,"&lt;="&amp;$C33,$C$6:$C$605,"&gt;="&amp;$B33)&gt;1,"Überschneidet sich mit eigenem Wunsch",IF(OR($B33&lt;Einstellungen!$B$3,$C33&gt;Einstellungen!$B$4),"Teils außerhalb des Planungsjahres","ok"))))))</f>
        <v/>
      </c>
      <c r="J33" s="14"/>
    </row>
    <row r="34" customFormat="false" ht="15" hidden="false" customHeight="false" outlineLevel="0" collapsed="false">
      <c r="A34" s="15"/>
      <c r="B34" s="14"/>
      <c r="C34" s="14"/>
      <c r="D34" s="15"/>
      <c r="E34" s="15"/>
      <c r="F34" s="12" t="str">
        <f aca="false">IF($A34="","",IFERROR(INDEX(Team!$B$5:$B$64,MATCH($A34,Team!$A$5:$A$64,0)),"?"))</f>
        <v/>
      </c>
      <c r="G34" s="13" t="str">
        <f aca="false">IF($A34="","",COUNTIF($A$6:$A34,$A34)&amp;". Wunsch")</f>
        <v/>
      </c>
      <c r="H34" s="13" t="str">
        <f aca="false">IF(OR($A34="",$B34="",$C34="",$C34&lt;$B34),"",NETWORKDAYS($B34,$C34,Einstellungen!$N$7:$N$40))</f>
        <v/>
      </c>
      <c r="I34" s="12" t="str">
        <f aca="false">IF($A34="","",IF(OR($B34="",$C34=""),"Von und Bis eintragen",IF($C34&lt;$B34,"Bis liegt vor Von",IF(ISNA(MATCH($A34,Team!$A$5:$A$64,0)),"Name fehlt im Blatt Team",IF(COUNTIFS($A$6:$A$605,$A34,$B$6:$B$605,"&lt;="&amp;$C34,$C$6:$C$605,"&gt;="&amp;$B34)&gt;1,"Überschneidet sich mit eigenem Wunsch",IF(OR($B34&lt;Einstellungen!$B$3,$C34&gt;Einstellungen!$B$4),"Teils außerhalb des Planungsjahres","ok"))))))</f>
        <v/>
      </c>
      <c r="J34" s="14"/>
    </row>
    <row r="35" customFormat="false" ht="15" hidden="false" customHeight="false" outlineLevel="0" collapsed="false">
      <c r="A35" s="15"/>
      <c r="B35" s="14"/>
      <c r="C35" s="14"/>
      <c r="D35" s="15"/>
      <c r="E35" s="15"/>
      <c r="F35" s="12" t="str">
        <f aca="false">IF($A35="","",IFERROR(INDEX(Team!$B$5:$B$64,MATCH($A35,Team!$A$5:$A$64,0)),"?"))</f>
        <v/>
      </c>
      <c r="G35" s="13" t="str">
        <f aca="false">IF($A35="","",COUNTIF($A$6:$A35,$A35)&amp;". Wunsch")</f>
        <v/>
      </c>
      <c r="H35" s="13" t="str">
        <f aca="false">IF(OR($A35="",$B35="",$C35="",$C35&lt;$B35),"",NETWORKDAYS($B35,$C35,Einstellungen!$N$7:$N$40))</f>
        <v/>
      </c>
      <c r="I35" s="12" t="str">
        <f aca="false">IF($A35="","",IF(OR($B35="",$C35=""),"Von und Bis eintragen",IF($C35&lt;$B35,"Bis liegt vor Von",IF(ISNA(MATCH($A35,Team!$A$5:$A$64,0)),"Name fehlt im Blatt Team",IF(COUNTIFS($A$6:$A$605,$A35,$B$6:$B$605,"&lt;="&amp;$C35,$C$6:$C$605,"&gt;="&amp;$B35)&gt;1,"Überschneidet sich mit eigenem Wunsch",IF(OR($B35&lt;Einstellungen!$B$3,$C35&gt;Einstellungen!$B$4),"Teils außerhalb des Planungsjahres","ok"))))))</f>
        <v/>
      </c>
      <c r="J35" s="14"/>
    </row>
    <row r="36" customFormat="false" ht="15" hidden="false" customHeight="false" outlineLevel="0" collapsed="false">
      <c r="A36" s="15"/>
      <c r="B36" s="14"/>
      <c r="C36" s="14"/>
      <c r="D36" s="15"/>
      <c r="E36" s="15"/>
      <c r="F36" s="12" t="str">
        <f aca="false">IF($A36="","",IFERROR(INDEX(Team!$B$5:$B$64,MATCH($A36,Team!$A$5:$A$64,0)),"?"))</f>
        <v/>
      </c>
      <c r="G36" s="13" t="str">
        <f aca="false">IF($A36="","",COUNTIF($A$6:$A36,$A36)&amp;". Wunsch")</f>
        <v/>
      </c>
      <c r="H36" s="13" t="str">
        <f aca="false">IF(OR($A36="",$B36="",$C36="",$C36&lt;$B36),"",NETWORKDAYS($B36,$C36,Einstellungen!$N$7:$N$40))</f>
        <v/>
      </c>
      <c r="I36" s="12" t="str">
        <f aca="false">IF($A36="","",IF(OR($B36="",$C36=""),"Von und Bis eintragen",IF($C36&lt;$B36,"Bis liegt vor Von",IF(ISNA(MATCH($A36,Team!$A$5:$A$64,0)),"Name fehlt im Blatt Team",IF(COUNTIFS($A$6:$A$605,$A36,$B$6:$B$605,"&lt;="&amp;$C36,$C$6:$C$605,"&gt;="&amp;$B36)&gt;1,"Überschneidet sich mit eigenem Wunsch",IF(OR($B36&lt;Einstellungen!$B$3,$C36&gt;Einstellungen!$B$4),"Teils außerhalb des Planungsjahres","ok"))))))</f>
        <v/>
      </c>
      <c r="J36" s="14"/>
    </row>
    <row r="37" customFormat="false" ht="15" hidden="false" customHeight="false" outlineLevel="0" collapsed="false">
      <c r="A37" s="15"/>
      <c r="B37" s="14"/>
      <c r="C37" s="14"/>
      <c r="D37" s="15"/>
      <c r="E37" s="15"/>
      <c r="F37" s="12" t="str">
        <f aca="false">IF($A37="","",IFERROR(INDEX(Team!$B$5:$B$64,MATCH($A37,Team!$A$5:$A$64,0)),"?"))</f>
        <v/>
      </c>
      <c r="G37" s="13" t="str">
        <f aca="false">IF($A37="","",COUNTIF($A$6:$A37,$A37)&amp;". Wunsch")</f>
        <v/>
      </c>
      <c r="H37" s="13" t="str">
        <f aca="false">IF(OR($A37="",$B37="",$C37="",$C37&lt;$B37),"",NETWORKDAYS($B37,$C37,Einstellungen!$N$7:$N$40))</f>
        <v/>
      </c>
      <c r="I37" s="12" t="str">
        <f aca="false">IF($A37="","",IF(OR($B37="",$C37=""),"Von und Bis eintragen",IF($C37&lt;$B37,"Bis liegt vor Von",IF(ISNA(MATCH($A37,Team!$A$5:$A$64,0)),"Name fehlt im Blatt Team",IF(COUNTIFS($A$6:$A$605,$A37,$B$6:$B$605,"&lt;="&amp;$C37,$C$6:$C$605,"&gt;="&amp;$B37)&gt;1,"Überschneidet sich mit eigenem Wunsch",IF(OR($B37&lt;Einstellungen!$B$3,$C37&gt;Einstellungen!$B$4),"Teils außerhalb des Planungsjahres","ok"))))))</f>
        <v/>
      </c>
      <c r="J37" s="14"/>
    </row>
    <row r="38" customFormat="false" ht="15" hidden="false" customHeight="false" outlineLevel="0" collapsed="false">
      <c r="A38" s="15"/>
      <c r="B38" s="14"/>
      <c r="C38" s="14"/>
      <c r="D38" s="15"/>
      <c r="E38" s="15"/>
      <c r="F38" s="12" t="str">
        <f aca="false">IF($A38="","",IFERROR(INDEX(Team!$B$5:$B$64,MATCH($A38,Team!$A$5:$A$64,0)),"?"))</f>
        <v/>
      </c>
      <c r="G38" s="13" t="str">
        <f aca="false">IF($A38="","",COUNTIF($A$6:$A38,$A38)&amp;". Wunsch")</f>
        <v/>
      </c>
      <c r="H38" s="13" t="str">
        <f aca="false">IF(OR($A38="",$B38="",$C38="",$C38&lt;$B38),"",NETWORKDAYS($B38,$C38,Einstellungen!$N$7:$N$40))</f>
        <v/>
      </c>
      <c r="I38" s="12" t="str">
        <f aca="false">IF($A38="","",IF(OR($B38="",$C38=""),"Von und Bis eintragen",IF($C38&lt;$B38,"Bis liegt vor Von",IF(ISNA(MATCH($A38,Team!$A$5:$A$64,0)),"Name fehlt im Blatt Team",IF(COUNTIFS($A$6:$A$605,$A38,$B$6:$B$605,"&lt;="&amp;$C38,$C$6:$C$605,"&gt;="&amp;$B38)&gt;1,"Überschneidet sich mit eigenem Wunsch",IF(OR($B38&lt;Einstellungen!$B$3,$C38&gt;Einstellungen!$B$4),"Teils außerhalb des Planungsjahres","ok"))))))</f>
        <v/>
      </c>
      <c r="J38" s="14"/>
    </row>
    <row r="39" customFormat="false" ht="15" hidden="false" customHeight="false" outlineLevel="0" collapsed="false">
      <c r="A39" s="15"/>
      <c r="B39" s="14"/>
      <c r="C39" s="14"/>
      <c r="D39" s="15"/>
      <c r="E39" s="15"/>
      <c r="F39" s="12" t="str">
        <f aca="false">IF($A39="","",IFERROR(INDEX(Team!$B$5:$B$64,MATCH($A39,Team!$A$5:$A$64,0)),"?"))</f>
        <v/>
      </c>
      <c r="G39" s="13" t="str">
        <f aca="false">IF($A39="","",COUNTIF($A$6:$A39,$A39)&amp;". Wunsch")</f>
        <v/>
      </c>
      <c r="H39" s="13" t="str">
        <f aca="false">IF(OR($A39="",$B39="",$C39="",$C39&lt;$B39),"",NETWORKDAYS($B39,$C39,Einstellungen!$N$7:$N$40))</f>
        <v/>
      </c>
      <c r="I39" s="12" t="str">
        <f aca="false">IF($A39="","",IF(OR($B39="",$C39=""),"Von und Bis eintragen",IF($C39&lt;$B39,"Bis liegt vor Von",IF(ISNA(MATCH($A39,Team!$A$5:$A$64,0)),"Name fehlt im Blatt Team",IF(COUNTIFS($A$6:$A$605,$A39,$B$6:$B$605,"&lt;="&amp;$C39,$C$6:$C$605,"&gt;="&amp;$B39)&gt;1,"Überschneidet sich mit eigenem Wunsch",IF(OR($B39&lt;Einstellungen!$B$3,$C39&gt;Einstellungen!$B$4),"Teils außerhalb des Planungsjahres","ok"))))))</f>
        <v/>
      </c>
      <c r="J39" s="14"/>
    </row>
    <row r="40" customFormat="false" ht="15" hidden="false" customHeight="false" outlineLevel="0" collapsed="false">
      <c r="A40" s="15"/>
      <c r="B40" s="14"/>
      <c r="C40" s="14"/>
      <c r="D40" s="15"/>
      <c r="E40" s="15"/>
      <c r="F40" s="12" t="str">
        <f aca="false">IF($A40="","",IFERROR(INDEX(Team!$B$5:$B$64,MATCH($A40,Team!$A$5:$A$64,0)),"?"))</f>
        <v/>
      </c>
      <c r="G40" s="13" t="str">
        <f aca="false">IF($A40="","",COUNTIF($A$6:$A40,$A40)&amp;". Wunsch")</f>
        <v/>
      </c>
      <c r="H40" s="13" t="str">
        <f aca="false">IF(OR($A40="",$B40="",$C40="",$C40&lt;$B40),"",NETWORKDAYS($B40,$C40,Einstellungen!$N$7:$N$40))</f>
        <v/>
      </c>
      <c r="I40" s="12" t="str">
        <f aca="false">IF($A40="","",IF(OR($B40="",$C40=""),"Von und Bis eintragen",IF($C40&lt;$B40,"Bis liegt vor Von",IF(ISNA(MATCH($A40,Team!$A$5:$A$64,0)),"Name fehlt im Blatt Team",IF(COUNTIFS($A$6:$A$605,$A40,$B$6:$B$605,"&lt;="&amp;$C40,$C$6:$C$605,"&gt;="&amp;$B40)&gt;1,"Überschneidet sich mit eigenem Wunsch",IF(OR($B40&lt;Einstellungen!$B$3,$C40&gt;Einstellungen!$B$4),"Teils außerhalb des Planungsjahres","ok"))))))</f>
        <v/>
      </c>
      <c r="J40" s="14"/>
    </row>
    <row r="41" customFormat="false" ht="15" hidden="false" customHeight="false" outlineLevel="0" collapsed="false">
      <c r="A41" s="15"/>
      <c r="B41" s="14"/>
      <c r="C41" s="14"/>
      <c r="D41" s="15"/>
      <c r="E41" s="15"/>
      <c r="F41" s="12" t="str">
        <f aca="false">IF($A41="","",IFERROR(INDEX(Team!$B$5:$B$64,MATCH($A41,Team!$A$5:$A$64,0)),"?"))</f>
        <v/>
      </c>
      <c r="G41" s="13" t="str">
        <f aca="false">IF($A41="","",COUNTIF($A$6:$A41,$A41)&amp;". Wunsch")</f>
        <v/>
      </c>
      <c r="H41" s="13" t="str">
        <f aca="false">IF(OR($A41="",$B41="",$C41="",$C41&lt;$B41),"",NETWORKDAYS($B41,$C41,Einstellungen!$N$7:$N$40))</f>
        <v/>
      </c>
      <c r="I41" s="12" t="str">
        <f aca="false">IF($A41="","",IF(OR($B41="",$C41=""),"Von und Bis eintragen",IF($C41&lt;$B41,"Bis liegt vor Von",IF(ISNA(MATCH($A41,Team!$A$5:$A$64,0)),"Name fehlt im Blatt Team",IF(COUNTIFS($A$6:$A$605,$A41,$B$6:$B$605,"&lt;="&amp;$C41,$C$6:$C$605,"&gt;="&amp;$B41)&gt;1,"Überschneidet sich mit eigenem Wunsch",IF(OR($B41&lt;Einstellungen!$B$3,$C41&gt;Einstellungen!$B$4),"Teils außerhalb des Planungsjahres","ok"))))))</f>
        <v/>
      </c>
      <c r="J41" s="14"/>
    </row>
    <row r="42" customFormat="false" ht="15" hidden="false" customHeight="false" outlineLevel="0" collapsed="false">
      <c r="A42" s="15"/>
      <c r="B42" s="14"/>
      <c r="C42" s="14"/>
      <c r="D42" s="15"/>
      <c r="E42" s="15"/>
      <c r="F42" s="12" t="str">
        <f aca="false">IF($A42="","",IFERROR(INDEX(Team!$B$5:$B$64,MATCH($A42,Team!$A$5:$A$64,0)),"?"))</f>
        <v/>
      </c>
      <c r="G42" s="13" t="str">
        <f aca="false">IF($A42="","",COUNTIF($A$6:$A42,$A42)&amp;". Wunsch")</f>
        <v/>
      </c>
      <c r="H42" s="13" t="str">
        <f aca="false">IF(OR($A42="",$B42="",$C42="",$C42&lt;$B42),"",NETWORKDAYS($B42,$C42,Einstellungen!$N$7:$N$40))</f>
        <v/>
      </c>
      <c r="I42" s="12" t="str">
        <f aca="false">IF($A42="","",IF(OR($B42="",$C42=""),"Von und Bis eintragen",IF($C42&lt;$B42,"Bis liegt vor Von",IF(ISNA(MATCH($A42,Team!$A$5:$A$64,0)),"Name fehlt im Blatt Team",IF(COUNTIFS($A$6:$A$605,$A42,$B$6:$B$605,"&lt;="&amp;$C42,$C$6:$C$605,"&gt;="&amp;$B42)&gt;1,"Überschneidet sich mit eigenem Wunsch",IF(OR($B42&lt;Einstellungen!$B$3,$C42&gt;Einstellungen!$B$4),"Teils außerhalb des Planungsjahres","ok"))))))</f>
        <v/>
      </c>
      <c r="J42" s="14"/>
    </row>
    <row r="43" customFormat="false" ht="15" hidden="false" customHeight="false" outlineLevel="0" collapsed="false">
      <c r="A43" s="15"/>
      <c r="B43" s="14"/>
      <c r="C43" s="14"/>
      <c r="D43" s="15"/>
      <c r="E43" s="15"/>
      <c r="F43" s="12" t="str">
        <f aca="false">IF($A43="","",IFERROR(INDEX(Team!$B$5:$B$64,MATCH($A43,Team!$A$5:$A$64,0)),"?"))</f>
        <v/>
      </c>
      <c r="G43" s="13" t="str">
        <f aca="false">IF($A43="","",COUNTIF($A$6:$A43,$A43)&amp;". Wunsch")</f>
        <v/>
      </c>
      <c r="H43" s="13" t="str">
        <f aca="false">IF(OR($A43="",$B43="",$C43="",$C43&lt;$B43),"",NETWORKDAYS($B43,$C43,Einstellungen!$N$7:$N$40))</f>
        <v/>
      </c>
      <c r="I43" s="12" t="str">
        <f aca="false">IF($A43="","",IF(OR($B43="",$C43=""),"Von und Bis eintragen",IF($C43&lt;$B43,"Bis liegt vor Von",IF(ISNA(MATCH($A43,Team!$A$5:$A$64,0)),"Name fehlt im Blatt Team",IF(COUNTIFS($A$6:$A$605,$A43,$B$6:$B$605,"&lt;="&amp;$C43,$C$6:$C$605,"&gt;="&amp;$B43)&gt;1,"Überschneidet sich mit eigenem Wunsch",IF(OR($B43&lt;Einstellungen!$B$3,$C43&gt;Einstellungen!$B$4),"Teils außerhalb des Planungsjahres","ok"))))))</f>
        <v/>
      </c>
      <c r="J43" s="14"/>
    </row>
    <row r="44" customFormat="false" ht="15" hidden="false" customHeight="false" outlineLevel="0" collapsed="false">
      <c r="A44" s="15"/>
      <c r="B44" s="14"/>
      <c r="C44" s="14"/>
      <c r="D44" s="15"/>
      <c r="E44" s="15"/>
      <c r="F44" s="12" t="str">
        <f aca="false">IF($A44="","",IFERROR(INDEX(Team!$B$5:$B$64,MATCH($A44,Team!$A$5:$A$64,0)),"?"))</f>
        <v/>
      </c>
      <c r="G44" s="13" t="str">
        <f aca="false">IF($A44="","",COUNTIF($A$6:$A44,$A44)&amp;". Wunsch")</f>
        <v/>
      </c>
      <c r="H44" s="13" t="str">
        <f aca="false">IF(OR($A44="",$B44="",$C44="",$C44&lt;$B44),"",NETWORKDAYS($B44,$C44,Einstellungen!$N$7:$N$40))</f>
        <v/>
      </c>
      <c r="I44" s="12" t="str">
        <f aca="false">IF($A44="","",IF(OR($B44="",$C44=""),"Von und Bis eintragen",IF($C44&lt;$B44,"Bis liegt vor Von",IF(ISNA(MATCH($A44,Team!$A$5:$A$64,0)),"Name fehlt im Blatt Team",IF(COUNTIFS($A$6:$A$605,$A44,$B$6:$B$605,"&lt;="&amp;$C44,$C$6:$C$605,"&gt;="&amp;$B44)&gt;1,"Überschneidet sich mit eigenem Wunsch",IF(OR($B44&lt;Einstellungen!$B$3,$C44&gt;Einstellungen!$B$4),"Teils außerhalb des Planungsjahres","ok"))))))</f>
        <v/>
      </c>
      <c r="J44" s="14"/>
    </row>
    <row r="45" customFormat="false" ht="15" hidden="false" customHeight="false" outlineLevel="0" collapsed="false">
      <c r="A45" s="15"/>
      <c r="B45" s="14"/>
      <c r="C45" s="14"/>
      <c r="D45" s="15"/>
      <c r="E45" s="15"/>
      <c r="F45" s="12" t="str">
        <f aca="false">IF($A45="","",IFERROR(INDEX(Team!$B$5:$B$64,MATCH($A45,Team!$A$5:$A$64,0)),"?"))</f>
        <v/>
      </c>
      <c r="G45" s="13" t="str">
        <f aca="false">IF($A45="","",COUNTIF($A$6:$A45,$A45)&amp;". Wunsch")</f>
        <v/>
      </c>
      <c r="H45" s="13" t="str">
        <f aca="false">IF(OR($A45="",$B45="",$C45="",$C45&lt;$B45),"",NETWORKDAYS($B45,$C45,Einstellungen!$N$7:$N$40))</f>
        <v/>
      </c>
      <c r="I45" s="12" t="str">
        <f aca="false">IF($A45="","",IF(OR($B45="",$C45=""),"Von und Bis eintragen",IF($C45&lt;$B45,"Bis liegt vor Von",IF(ISNA(MATCH($A45,Team!$A$5:$A$64,0)),"Name fehlt im Blatt Team",IF(COUNTIFS($A$6:$A$605,$A45,$B$6:$B$605,"&lt;="&amp;$C45,$C$6:$C$605,"&gt;="&amp;$B45)&gt;1,"Überschneidet sich mit eigenem Wunsch",IF(OR($B45&lt;Einstellungen!$B$3,$C45&gt;Einstellungen!$B$4),"Teils außerhalb des Planungsjahres","ok"))))))</f>
        <v/>
      </c>
      <c r="J45" s="14"/>
    </row>
    <row r="46" customFormat="false" ht="15" hidden="false" customHeight="false" outlineLevel="0" collapsed="false">
      <c r="A46" s="15"/>
      <c r="B46" s="14"/>
      <c r="C46" s="14"/>
      <c r="D46" s="15"/>
      <c r="E46" s="15"/>
      <c r="F46" s="12" t="str">
        <f aca="false">IF($A46="","",IFERROR(INDEX(Team!$B$5:$B$64,MATCH($A46,Team!$A$5:$A$64,0)),"?"))</f>
        <v/>
      </c>
      <c r="G46" s="13" t="str">
        <f aca="false">IF($A46="","",COUNTIF($A$6:$A46,$A46)&amp;". Wunsch")</f>
        <v/>
      </c>
      <c r="H46" s="13" t="str">
        <f aca="false">IF(OR($A46="",$B46="",$C46="",$C46&lt;$B46),"",NETWORKDAYS($B46,$C46,Einstellungen!$N$7:$N$40))</f>
        <v/>
      </c>
      <c r="I46" s="12" t="str">
        <f aca="false">IF($A46="","",IF(OR($B46="",$C46=""),"Von und Bis eintragen",IF($C46&lt;$B46,"Bis liegt vor Von",IF(ISNA(MATCH($A46,Team!$A$5:$A$64,0)),"Name fehlt im Blatt Team",IF(COUNTIFS($A$6:$A$605,$A46,$B$6:$B$605,"&lt;="&amp;$C46,$C$6:$C$605,"&gt;="&amp;$B46)&gt;1,"Überschneidet sich mit eigenem Wunsch",IF(OR($B46&lt;Einstellungen!$B$3,$C46&gt;Einstellungen!$B$4),"Teils außerhalb des Planungsjahres","ok"))))))</f>
        <v/>
      </c>
      <c r="J46" s="14"/>
    </row>
    <row r="47" customFormat="false" ht="15" hidden="false" customHeight="false" outlineLevel="0" collapsed="false">
      <c r="A47" s="15"/>
      <c r="B47" s="14"/>
      <c r="C47" s="14"/>
      <c r="D47" s="15"/>
      <c r="E47" s="15"/>
      <c r="F47" s="12" t="str">
        <f aca="false">IF($A47="","",IFERROR(INDEX(Team!$B$5:$B$64,MATCH($A47,Team!$A$5:$A$64,0)),"?"))</f>
        <v/>
      </c>
      <c r="G47" s="13" t="str">
        <f aca="false">IF($A47="","",COUNTIF($A$6:$A47,$A47)&amp;". Wunsch")</f>
        <v/>
      </c>
      <c r="H47" s="13" t="str">
        <f aca="false">IF(OR($A47="",$B47="",$C47="",$C47&lt;$B47),"",NETWORKDAYS($B47,$C47,Einstellungen!$N$7:$N$40))</f>
        <v/>
      </c>
      <c r="I47" s="12" t="str">
        <f aca="false">IF($A47="","",IF(OR($B47="",$C47=""),"Von und Bis eintragen",IF($C47&lt;$B47,"Bis liegt vor Von",IF(ISNA(MATCH($A47,Team!$A$5:$A$64,0)),"Name fehlt im Blatt Team",IF(COUNTIFS($A$6:$A$605,$A47,$B$6:$B$605,"&lt;="&amp;$C47,$C$6:$C$605,"&gt;="&amp;$B47)&gt;1,"Überschneidet sich mit eigenem Wunsch",IF(OR($B47&lt;Einstellungen!$B$3,$C47&gt;Einstellungen!$B$4),"Teils außerhalb des Planungsjahres","ok"))))))</f>
        <v/>
      </c>
      <c r="J47" s="14"/>
    </row>
    <row r="48" customFormat="false" ht="15" hidden="false" customHeight="false" outlineLevel="0" collapsed="false">
      <c r="A48" s="15"/>
      <c r="B48" s="14"/>
      <c r="C48" s="14"/>
      <c r="D48" s="15"/>
      <c r="E48" s="15"/>
      <c r="F48" s="12" t="str">
        <f aca="false">IF($A48="","",IFERROR(INDEX(Team!$B$5:$B$64,MATCH($A48,Team!$A$5:$A$64,0)),"?"))</f>
        <v/>
      </c>
      <c r="G48" s="13" t="str">
        <f aca="false">IF($A48="","",COUNTIF($A$6:$A48,$A48)&amp;". Wunsch")</f>
        <v/>
      </c>
      <c r="H48" s="13" t="str">
        <f aca="false">IF(OR($A48="",$B48="",$C48="",$C48&lt;$B48),"",NETWORKDAYS($B48,$C48,Einstellungen!$N$7:$N$40))</f>
        <v/>
      </c>
      <c r="I48" s="12" t="str">
        <f aca="false">IF($A48="","",IF(OR($B48="",$C48=""),"Von und Bis eintragen",IF($C48&lt;$B48,"Bis liegt vor Von",IF(ISNA(MATCH($A48,Team!$A$5:$A$64,0)),"Name fehlt im Blatt Team",IF(COUNTIFS($A$6:$A$605,$A48,$B$6:$B$605,"&lt;="&amp;$C48,$C$6:$C$605,"&gt;="&amp;$B48)&gt;1,"Überschneidet sich mit eigenem Wunsch",IF(OR($B48&lt;Einstellungen!$B$3,$C48&gt;Einstellungen!$B$4),"Teils außerhalb des Planungsjahres","ok"))))))</f>
        <v/>
      </c>
      <c r="J48" s="14"/>
    </row>
    <row r="49" customFormat="false" ht="15" hidden="false" customHeight="false" outlineLevel="0" collapsed="false">
      <c r="A49" s="15"/>
      <c r="B49" s="14"/>
      <c r="C49" s="14"/>
      <c r="D49" s="15"/>
      <c r="E49" s="15"/>
      <c r="F49" s="12" t="str">
        <f aca="false">IF($A49="","",IFERROR(INDEX(Team!$B$5:$B$64,MATCH($A49,Team!$A$5:$A$64,0)),"?"))</f>
        <v/>
      </c>
      <c r="G49" s="13" t="str">
        <f aca="false">IF($A49="","",COUNTIF($A$6:$A49,$A49)&amp;". Wunsch")</f>
        <v/>
      </c>
      <c r="H49" s="13" t="str">
        <f aca="false">IF(OR($A49="",$B49="",$C49="",$C49&lt;$B49),"",NETWORKDAYS($B49,$C49,Einstellungen!$N$7:$N$40))</f>
        <v/>
      </c>
      <c r="I49" s="12" t="str">
        <f aca="false">IF($A49="","",IF(OR($B49="",$C49=""),"Von und Bis eintragen",IF($C49&lt;$B49,"Bis liegt vor Von",IF(ISNA(MATCH($A49,Team!$A$5:$A$64,0)),"Name fehlt im Blatt Team",IF(COUNTIFS($A$6:$A$605,$A49,$B$6:$B$605,"&lt;="&amp;$C49,$C$6:$C$605,"&gt;="&amp;$B49)&gt;1,"Überschneidet sich mit eigenem Wunsch",IF(OR($B49&lt;Einstellungen!$B$3,$C49&gt;Einstellungen!$B$4),"Teils außerhalb des Planungsjahres","ok"))))))</f>
        <v/>
      </c>
      <c r="J49" s="14"/>
    </row>
    <row r="50" customFormat="false" ht="15" hidden="false" customHeight="false" outlineLevel="0" collapsed="false">
      <c r="A50" s="15"/>
      <c r="B50" s="14"/>
      <c r="C50" s="14"/>
      <c r="D50" s="15"/>
      <c r="E50" s="15"/>
      <c r="F50" s="12" t="str">
        <f aca="false">IF($A50="","",IFERROR(INDEX(Team!$B$5:$B$64,MATCH($A50,Team!$A$5:$A$64,0)),"?"))</f>
        <v/>
      </c>
      <c r="G50" s="13" t="str">
        <f aca="false">IF($A50="","",COUNTIF($A$6:$A50,$A50)&amp;". Wunsch")</f>
        <v/>
      </c>
      <c r="H50" s="13" t="str">
        <f aca="false">IF(OR($A50="",$B50="",$C50="",$C50&lt;$B50),"",NETWORKDAYS($B50,$C50,Einstellungen!$N$7:$N$40))</f>
        <v/>
      </c>
      <c r="I50" s="12" t="str">
        <f aca="false">IF($A50="","",IF(OR($B50="",$C50=""),"Von und Bis eintragen",IF($C50&lt;$B50,"Bis liegt vor Von",IF(ISNA(MATCH($A50,Team!$A$5:$A$64,0)),"Name fehlt im Blatt Team",IF(COUNTIFS($A$6:$A$605,$A50,$B$6:$B$605,"&lt;="&amp;$C50,$C$6:$C$605,"&gt;="&amp;$B50)&gt;1,"Überschneidet sich mit eigenem Wunsch",IF(OR($B50&lt;Einstellungen!$B$3,$C50&gt;Einstellungen!$B$4),"Teils außerhalb des Planungsjahres","ok"))))))</f>
        <v/>
      </c>
      <c r="J50" s="14"/>
    </row>
    <row r="51" customFormat="false" ht="15" hidden="false" customHeight="false" outlineLevel="0" collapsed="false">
      <c r="A51" s="15"/>
      <c r="B51" s="14"/>
      <c r="C51" s="14"/>
      <c r="D51" s="15"/>
      <c r="E51" s="15"/>
      <c r="F51" s="12" t="str">
        <f aca="false">IF($A51="","",IFERROR(INDEX(Team!$B$5:$B$64,MATCH($A51,Team!$A$5:$A$64,0)),"?"))</f>
        <v/>
      </c>
      <c r="G51" s="13" t="str">
        <f aca="false">IF($A51="","",COUNTIF($A$6:$A51,$A51)&amp;". Wunsch")</f>
        <v/>
      </c>
      <c r="H51" s="13" t="str">
        <f aca="false">IF(OR($A51="",$B51="",$C51="",$C51&lt;$B51),"",NETWORKDAYS($B51,$C51,Einstellungen!$N$7:$N$40))</f>
        <v/>
      </c>
      <c r="I51" s="12" t="str">
        <f aca="false">IF($A51="","",IF(OR($B51="",$C51=""),"Von und Bis eintragen",IF($C51&lt;$B51,"Bis liegt vor Von",IF(ISNA(MATCH($A51,Team!$A$5:$A$64,0)),"Name fehlt im Blatt Team",IF(COUNTIFS($A$6:$A$605,$A51,$B$6:$B$605,"&lt;="&amp;$C51,$C$6:$C$605,"&gt;="&amp;$B51)&gt;1,"Überschneidet sich mit eigenem Wunsch",IF(OR($B51&lt;Einstellungen!$B$3,$C51&gt;Einstellungen!$B$4),"Teils außerhalb des Planungsjahres","ok"))))))</f>
        <v/>
      </c>
      <c r="J51" s="14"/>
    </row>
    <row r="52" customFormat="false" ht="15" hidden="false" customHeight="false" outlineLevel="0" collapsed="false">
      <c r="A52" s="15"/>
      <c r="B52" s="14"/>
      <c r="C52" s="14"/>
      <c r="D52" s="15"/>
      <c r="E52" s="15"/>
      <c r="F52" s="12" t="str">
        <f aca="false">IF($A52="","",IFERROR(INDEX(Team!$B$5:$B$64,MATCH($A52,Team!$A$5:$A$64,0)),"?"))</f>
        <v/>
      </c>
      <c r="G52" s="13" t="str">
        <f aca="false">IF($A52="","",COUNTIF($A$6:$A52,$A52)&amp;". Wunsch")</f>
        <v/>
      </c>
      <c r="H52" s="13" t="str">
        <f aca="false">IF(OR($A52="",$B52="",$C52="",$C52&lt;$B52),"",NETWORKDAYS($B52,$C52,Einstellungen!$N$7:$N$40))</f>
        <v/>
      </c>
      <c r="I52" s="12" t="str">
        <f aca="false">IF($A52="","",IF(OR($B52="",$C52=""),"Von und Bis eintragen",IF($C52&lt;$B52,"Bis liegt vor Von",IF(ISNA(MATCH($A52,Team!$A$5:$A$64,0)),"Name fehlt im Blatt Team",IF(COUNTIFS($A$6:$A$605,$A52,$B$6:$B$605,"&lt;="&amp;$C52,$C$6:$C$605,"&gt;="&amp;$B52)&gt;1,"Überschneidet sich mit eigenem Wunsch",IF(OR($B52&lt;Einstellungen!$B$3,$C52&gt;Einstellungen!$B$4),"Teils außerhalb des Planungsjahres","ok"))))))</f>
        <v/>
      </c>
      <c r="J52" s="14"/>
    </row>
    <row r="53" customFormat="false" ht="15" hidden="false" customHeight="false" outlineLevel="0" collapsed="false">
      <c r="A53" s="15"/>
      <c r="B53" s="14"/>
      <c r="C53" s="14"/>
      <c r="D53" s="15"/>
      <c r="E53" s="15"/>
      <c r="F53" s="12" t="str">
        <f aca="false">IF($A53="","",IFERROR(INDEX(Team!$B$5:$B$64,MATCH($A53,Team!$A$5:$A$64,0)),"?"))</f>
        <v/>
      </c>
      <c r="G53" s="13" t="str">
        <f aca="false">IF($A53="","",COUNTIF($A$6:$A53,$A53)&amp;". Wunsch")</f>
        <v/>
      </c>
      <c r="H53" s="13" t="str">
        <f aca="false">IF(OR($A53="",$B53="",$C53="",$C53&lt;$B53),"",NETWORKDAYS($B53,$C53,Einstellungen!$N$7:$N$40))</f>
        <v/>
      </c>
      <c r="I53" s="12" t="str">
        <f aca="false">IF($A53="","",IF(OR($B53="",$C53=""),"Von und Bis eintragen",IF($C53&lt;$B53,"Bis liegt vor Von",IF(ISNA(MATCH($A53,Team!$A$5:$A$64,0)),"Name fehlt im Blatt Team",IF(COUNTIFS($A$6:$A$605,$A53,$B$6:$B$605,"&lt;="&amp;$C53,$C$6:$C$605,"&gt;="&amp;$B53)&gt;1,"Überschneidet sich mit eigenem Wunsch",IF(OR($B53&lt;Einstellungen!$B$3,$C53&gt;Einstellungen!$B$4),"Teils außerhalb des Planungsjahres","ok"))))))</f>
        <v/>
      </c>
      <c r="J53" s="14"/>
    </row>
    <row r="54" customFormat="false" ht="15" hidden="false" customHeight="false" outlineLevel="0" collapsed="false">
      <c r="A54" s="15"/>
      <c r="B54" s="14"/>
      <c r="C54" s="14"/>
      <c r="D54" s="15"/>
      <c r="E54" s="15"/>
      <c r="F54" s="12" t="str">
        <f aca="false">IF($A54="","",IFERROR(INDEX(Team!$B$5:$B$64,MATCH($A54,Team!$A$5:$A$64,0)),"?"))</f>
        <v/>
      </c>
      <c r="G54" s="13" t="str">
        <f aca="false">IF($A54="","",COUNTIF($A$6:$A54,$A54)&amp;". Wunsch")</f>
        <v/>
      </c>
      <c r="H54" s="13" t="str">
        <f aca="false">IF(OR($A54="",$B54="",$C54="",$C54&lt;$B54),"",NETWORKDAYS($B54,$C54,Einstellungen!$N$7:$N$40))</f>
        <v/>
      </c>
      <c r="I54" s="12" t="str">
        <f aca="false">IF($A54="","",IF(OR($B54="",$C54=""),"Von und Bis eintragen",IF($C54&lt;$B54,"Bis liegt vor Von",IF(ISNA(MATCH($A54,Team!$A$5:$A$64,0)),"Name fehlt im Blatt Team",IF(COUNTIFS($A$6:$A$605,$A54,$B$6:$B$605,"&lt;="&amp;$C54,$C$6:$C$605,"&gt;="&amp;$B54)&gt;1,"Überschneidet sich mit eigenem Wunsch",IF(OR($B54&lt;Einstellungen!$B$3,$C54&gt;Einstellungen!$B$4),"Teils außerhalb des Planungsjahres","ok"))))))</f>
        <v/>
      </c>
      <c r="J54" s="14"/>
    </row>
    <row r="55" customFormat="false" ht="15" hidden="false" customHeight="false" outlineLevel="0" collapsed="false">
      <c r="A55" s="15"/>
      <c r="B55" s="14"/>
      <c r="C55" s="14"/>
      <c r="D55" s="15"/>
      <c r="E55" s="15"/>
      <c r="F55" s="12" t="str">
        <f aca="false">IF($A55="","",IFERROR(INDEX(Team!$B$5:$B$64,MATCH($A55,Team!$A$5:$A$64,0)),"?"))</f>
        <v/>
      </c>
      <c r="G55" s="13" t="str">
        <f aca="false">IF($A55="","",COUNTIF($A$6:$A55,$A55)&amp;". Wunsch")</f>
        <v/>
      </c>
      <c r="H55" s="13" t="str">
        <f aca="false">IF(OR($A55="",$B55="",$C55="",$C55&lt;$B55),"",NETWORKDAYS($B55,$C55,Einstellungen!$N$7:$N$40))</f>
        <v/>
      </c>
      <c r="I55" s="12" t="str">
        <f aca="false">IF($A55="","",IF(OR($B55="",$C55=""),"Von und Bis eintragen",IF($C55&lt;$B55,"Bis liegt vor Von",IF(ISNA(MATCH($A55,Team!$A$5:$A$64,0)),"Name fehlt im Blatt Team",IF(COUNTIFS($A$6:$A$605,$A55,$B$6:$B$605,"&lt;="&amp;$C55,$C$6:$C$605,"&gt;="&amp;$B55)&gt;1,"Überschneidet sich mit eigenem Wunsch",IF(OR($B55&lt;Einstellungen!$B$3,$C55&gt;Einstellungen!$B$4),"Teils außerhalb des Planungsjahres","ok"))))))</f>
        <v/>
      </c>
      <c r="J55" s="14"/>
    </row>
    <row r="56" customFormat="false" ht="15" hidden="false" customHeight="false" outlineLevel="0" collapsed="false">
      <c r="A56" s="15"/>
      <c r="B56" s="14"/>
      <c r="C56" s="14"/>
      <c r="D56" s="15"/>
      <c r="E56" s="15"/>
      <c r="F56" s="12" t="str">
        <f aca="false">IF($A56="","",IFERROR(INDEX(Team!$B$5:$B$64,MATCH($A56,Team!$A$5:$A$64,0)),"?"))</f>
        <v/>
      </c>
      <c r="G56" s="13" t="str">
        <f aca="false">IF($A56="","",COUNTIF($A$6:$A56,$A56)&amp;". Wunsch")</f>
        <v/>
      </c>
      <c r="H56" s="13" t="str">
        <f aca="false">IF(OR($A56="",$B56="",$C56="",$C56&lt;$B56),"",NETWORKDAYS($B56,$C56,Einstellungen!$N$7:$N$40))</f>
        <v/>
      </c>
      <c r="I56" s="12" t="str">
        <f aca="false">IF($A56="","",IF(OR($B56="",$C56=""),"Von und Bis eintragen",IF($C56&lt;$B56,"Bis liegt vor Von",IF(ISNA(MATCH($A56,Team!$A$5:$A$64,0)),"Name fehlt im Blatt Team",IF(COUNTIFS($A$6:$A$605,$A56,$B$6:$B$605,"&lt;="&amp;$C56,$C$6:$C$605,"&gt;="&amp;$B56)&gt;1,"Überschneidet sich mit eigenem Wunsch",IF(OR($B56&lt;Einstellungen!$B$3,$C56&gt;Einstellungen!$B$4),"Teils außerhalb des Planungsjahres","ok"))))))</f>
        <v/>
      </c>
      <c r="J56" s="14"/>
    </row>
    <row r="57" customFormat="false" ht="15" hidden="false" customHeight="false" outlineLevel="0" collapsed="false">
      <c r="A57" s="15"/>
      <c r="B57" s="14"/>
      <c r="C57" s="14"/>
      <c r="D57" s="15"/>
      <c r="E57" s="15"/>
      <c r="F57" s="12" t="str">
        <f aca="false">IF($A57="","",IFERROR(INDEX(Team!$B$5:$B$64,MATCH($A57,Team!$A$5:$A$64,0)),"?"))</f>
        <v/>
      </c>
      <c r="G57" s="13" t="str">
        <f aca="false">IF($A57="","",COUNTIF($A$6:$A57,$A57)&amp;". Wunsch")</f>
        <v/>
      </c>
      <c r="H57" s="13" t="str">
        <f aca="false">IF(OR($A57="",$B57="",$C57="",$C57&lt;$B57),"",NETWORKDAYS($B57,$C57,Einstellungen!$N$7:$N$40))</f>
        <v/>
      </c>
      <c r="I57" s="12" t="str">
        <f aca="false">IF($A57="","",IF(OR($B57="",$C57=""),"Von und Bis eintragen",IF($C57&lt;$B57,"Bis liegt vor Von",IF(ISNA(MATCH($A57,Team!$A$5:$A$64,0)),"Name fehlt im Blatt Team",IF(COUNTIFS($A$6:$A$605,$A57,$B$6:$B$605,"&lt;="&amp;$C57,$C$6:$C$605,"&gt;="&amp;$B57)&gt;1,"Überschneidet sich mit eigenem Wunsch",IF(OR($B57&lt;Einstellungen!$B$3,$C57&gt;Einstellungen!$B$4),"Teils außerhalb des Planungsjahres","ok"))))))</f>
        <v/>
      </c>
      <c r="J57" s="14"/>
    </row>
    <row r="58" customFormat="false" ht="15" hidden="false" customHeight="false" outlineLevel="0" collapsed="false">
      <c r="A58" s="15"/>
      <c r="B58" s="14"/>
      <c r="C58" s="14"/>
      <c r="D58" s="15"/>
      <c r="E58" s="15"/>
      <c r="F58" s="12" t="str">
        <f aca="false">IF($A58="","",IFERROR(INDEX(Team!$B$5:$B$64,MATCH($A58,Team!$A$5:$A$64,0)),"?"))</f>
        <v/>
      </c>
      <c r="G58" s="13" t="str">
        <f aca="false">IF($A58="","",COUNTIF($A$6:$A58,$A58)&amp;". Wunsch")</f>
        <v/>
      </c>
      <c r="H58" s="13" t="str">
        <f aca="false">IF(OR($A58="",$B58="",$C58="",$C58&lt;$B58),"",NETWORKDAYS($B58,$C58,Einstellungen!$N$7:$N$40))</f>
        <v/>
      </c>
      <c r="I58" s="12" t="str">
        <f aca="false">IF($A58="","",IF(OR($B58="",$C58=""),"Von und Bis eintragen",IF($C58&lt;$B58,"Bis liegt vor Von",IF(ISNA(MATCH($A58,Team!$A$5:$A$64,0)),"Name fehlt im Blatt Team",IF(COUNTIFS($A$6:$A$605,$A58,$B$6:$B$605,"&lt;="&amp;$C58,$C$6:$C$605,"&gt;="&amp;$B58)&gt;1,"Überschneidet sich mit eigenem Wunsch",IF(OR($B58&lt;Einstellungen!$B$3,$C58&gt;Einstellungen!$B$4),"Teils außerhalb des Planungsjahres","ok"))))))</f>
        <v/>
      </c>
      <c r="J58" s="14"/>
    </row>
    <row r="59" customFormat="false" ht="15" hidden="false" customHeight="false" outlineLevel="0" collapsed="false">
      <c r="A59" s="15"/>
      <c r="B59" s="14"/>
      <c r="C59" s="14"/>
      <c r="D59" s="15"/>
      <c r="E59" s="15"/>
      <c r="F59" s="12" t="str">
        <f aca="false">IF($A59="","",IFERROR(INDEX(Team!$B$5:$B$64,MATCH($A59,Team!$A$5:$A$64,0)),"?"))</f>
        <v/>
      </c>
      <c r="G59" s="13" t="str">
        <f aca="false">IF($A59="","",COUNTIF($A$6:$A59,$A59)&amp;". Wunsch")</f>
        <v/>
      </c>
      <c r="H59" s="13" t="str">
        <f aca="false">IF(OR($A59="",$B59="",$C59="",$C59&lt;$B59),"",NETWORKDAYS($B59,$C59,Einstellungen!$N$7:$N$40))</f>
        <v/>
      </c>
      <c r="I59" s="12" t="str">
        <f aca="false">IF($A59="","",IF(OR($B59="",$C59=""),"Von und Bis eintragen",IF($C59&lt;$B59,"Bis liegt vor Von",IF(ISNA(MATCH($A59,Team!$A$5:$A$64,0)),"Name fehlt im Blatt Team",IF(COUNTIFS($A$6:$A$605,$A59,$B$6:$B$605,"&lt;="&amp;$C59,$C$6:$C$605,"&gt;="&amp;$B59)&gt;1,"Überschneidet sich mit eigenem Wunsch",IF(OR($B59&lt;Einstellungen!$B$3,$C59&gt;Einstellungen!$B$4),"Teils außerhalb des Planungsjahres","ok"))))))</f>
        <v/>
      </c>
      <c r="J59" s="14"/>
    </row>
    <row r="60" customFormat="false" ht="15" hidden="false" customHeight="false" outlineLevel="0" collapsed="false">
      <c r="A60" s="15"/>
      <c r="B60" s="14"/>
      <c r="C60" s="14"/>
      <c r="D60" s="15"/>
      <c r="E60" s="15"/>
      <c r="F60" s="12" t="str">
        <f aca="false">IF($A60="","",IFERROR(INDEX(Team!$B$5:$B$64,MATCH($A60,Team!$A$5:$A$64,0)),"?"))</f>
        <v/>
      </c>
      <c r="G60" s="13" t="str">
        <f aca="false">IF($A60="","",COUNTIF($A$6:$A60,$A60)&amp;". Wunsch")</f>
        <v/>
      </c>
      <c r="H60" s="13" t="str">
        <f aca="false">IF(OR($A60="",$B60="",$C60="",$C60&lt;$B60),"",NETWORKDAYS($B60,$C60,Einstellungen!$N$7:$N$40))</f>
        <v/>
      </c>
      <c r="I60" s="12" t="str">
        <f aca="false">IF($A60="","",IF(OR($B60="",$C60=""),"Von und Bis eintragen",IF($C60&lt;$B60,"Bis liegt vor Von",IF(ISNA(MATCH($A60,Team!$A$5:$A$64,0)),"Name fehlt im Blatt Team",IF(COUNTIFS($A$6:$A$605,$A60,$B$6:$B$605,"&lt;="&amp;$C60,$C$6:$C$605,"&gt;="&amp;$B60)&gt;1,"Überschneidet sich mit eigenem Wunsch",IF(OR($B60&lt;Einstellungen!$B$3,$C60&gt;Einstellungen!$B$4),"Teils außerhalb des Planungsjahres","ok"))))))</f>
        <v/>
      </c>
      <c r="J60" s="14"/>
    </row>
    <row r="61" customFormat="false" ht="15" hidden="false" customHeight="false" outlineLevel="0" collapsed="false">
      <c r="A61" s="15"/>
      <c r="B61" s="14"/>
      <c r="C61" s="14"/>
      <c r="D61" s="15"/>
      <c r="E61" s="15"/>
      <c r="F61" s="12" t="str">
        <f aca="false">IF($A61="","",IFERROR(INDEX(Team!$B$5:$B$64,MATCH($A61,Team!$A$5:$A$64,0)),"?"))</f>
        <v/>
      </c>
      <c r="G61" s="13" t="str">
        <f aca="false">IF($A61="","",COUNTIF($A$6:$A61,$A61)&amp;". Wunsch")</f>
        <v/>
      </c>
      <c r="H61" s="13" t="str">
        <f aca="false">IF(OR($A61="",$B61="",$C61="",$C61&lt;$B61),"",NETWORKDAYS($B61,$C61,Einstellungen!$N$7:$N$40))</f>
        <v/>
      </c>
      <c r="I61" s="12" t="str">
        <f aca="false">IF($A61="","",IF(OR($B61="",$C61=""),"Von und Bis eintragen",IF($C61&lt;$B61,"Bis liegt vor Von",IF(ISNA(MATCH($A61,Team!$A$5:$A$64,0)),"Name fehlt im Blatt Team",IF(COUNTIFS($A$6:$A$605,$A61,$B$6:$B$605,"&lt;="&amp;$C61,$C$6:$C$605,"&gt;="&amp;$B61)&gt;1,"Überschneidet sich mit eigenem Wunsch",IF(OR($B61&lt;Einstellungen!$B$3,$C61&gt;Einstellungen!$B$4),"Teils außerhalb des Planungsjahres","ok"))))))</f>
        <v/>
      </c>
      <c r="J61" s="14"/>
    </row>
    <row r="62" customFormat="false" ht="15" hidden="false" customHeight="false" outlineLevel="0" collapsed="false">
      <c r="A62" s="15"/>
      <c r="B62" s="14"/>
      <c r="C62" s="14"/>
      <c r="D62" s="15"/>
      <c r="E62" s="15"/>
      <c r="F62" s="12" t="str">
        <f aca="false">IF($A62="","",IFERROR(INDEX(Team!$B$5:$B$64,MATCH($A62,Team!$A$5:$A$64,0)),"?"))</f>
        <v/>
      </c>
      <c r="G62" s="13" t="str">
        <f aca="false">IF($A62="","",COUNTIF($A$6:$A62,$A62)&amp;". Wunsch")</f>
        <v/>
      </c>
      <c r="H62" s="13" t="str">
        <f aca="false">IF(OR($A62="",$B62="",$C62="",$C62&lt;$B62),"",NETWORKDAYS($B62,$C62,Einstellungen!$N$7:$N$40))</f>
        <v/>
      </c>
      <c r="I62" s="12" t="str">
        <f aca="false">IF($A62="","",IF(OR($B62="",$C62=""),"Von und Bis eintragen",IF($C62&lt;$B62,"Bis liegt vor Von",IF(ISNA(MATCH($A62,Team!$A$5:$A$64,0)),"Name fehlt im Blatt Team",IF(COUNTIFS($A$6:$A$605,$A62,$B$6:$B$605,"&lt;="&amp;$C62,$C$6:$C$605,"&gt;="&amp;$B62)&gt;1,"Überschneidet sich mit eigenem Wunsch",IF(OR($B62&lt;Einstellungen!$B$3,$C62&gt;Einstellungen!$B$4),"Teils außerhalb des Planungsjahres","ok"))))))</f>
        <v/>
      </c>
      <c r="J62" s="14"/>
    </row>
    <row r="63" customFormat="false" ht="15" hidden="false" customHeight="false" outlineLevel="0" collapsed="false">
      <c r="A63" s="15"/>
      <c r="B63" s="14"/>
      <c r="C63" s="14"/>
      <c r="D63" s="15"/>
      <c r="E63" s="15"/>
      <c r="F63" s="12" t="str">
        <f aca="false">IF($A63="","",IFERROR(INDEX(Team!$B$5:$B$64,MATCH($A63,Team!$A$5:$A$64,0)),"?"))</f>
        <v/>
      </c>
      <c r="G63" s="13" t="str">
        <f aca="false">IF($A63="","",COUNTIF($A$6:$A63,$A63)&amp;". Wunsch")</f>
        <v/>
      </c>
      <c r="H63" s="13" t="str">
        <f aca="false">IF(OR($A63="",$B63="",$C63="",$C63&lt;$B63),"",NETWORKDAYS($B63,$C63,Einstellungen!$N$7:$N$40))</f>
        <v/>
      </c>
      <c r="I63" s="12" t="str">
        <f aca="false">IF($A63="","",IF(OR($B63="",$C63=""),"Von und Bis eintragen",IF($C63&lt;$B63,"Bis liegt vor Von",IF(ISNA(MATCH($A63,Team!$A$5:$A$64,0)),"Name fehlt im Blatt Team",IF(COUNTIFS($A$6:$A$605,$A63,$B$6:$B$605,"&lt;="&amp;$C63,$C$6:$C$605,"&gt;="&amp;$B63)&gt;1,"Überschneidet sich mit eigenem Wunsch",IF(OR($B63&lt;Einstellungen!$B$3,$C63&gt;Einstellungen!$B$4),"Teils außerhalb des Planungsjahres","ok"))))))</f>
        <v/>
      </c>
      <c r="J63" s="14"/>
    </row>
    <row r="64" customFormat="false" ht="15" hidden="false" customHeight="false" outlineLevel="0" collapsed="false">
      <c r="A64" s="15"/>
      <c r="B64" s="14"/>
      <c r="C64" s="14"/>
      <c r="D64" s="15"/>
      <c r="E64" s="15"/>
      <c r="F64" s="12" t="str">
        <f aca="false">IF($A64="","",IFERROR(INDEX(Team!$B$5:$B$64,MATCH($A64,Team!$A$5:$A$64,0)),"?"))</f>
        <v/>
      </c>
      <c r="G64" s="13" t="str">
        <f aca="false">IF($A64="","",COUNTIF($A$6:$A64,$A64)&amp;". Wunsch")</f>
        <v/>
      </c>
      <c r="H64" s="13" t="str">
        <f aca="false">IF(OR($A64="",$B64="",$C64="",$C64&lt;$B64),"",NETWORKDAYS($B64,$C64,Einstellungen!$N$7:$N$40))</f>
        <v/>
      </c>
      <c r="I64" s="12" t="str">
        <f aca="false">IF($A64="","",IF(OR($B64="",$C64=""),"Von und Bis eintragen",IF($C64&lt;$B64,"Bis liegt vor Von",IF(ISNA(MATCH($A64,Team!$A$5:$A$64,0)),"Name fehlt im Blatt Team",IF(COUNTIFS($A$6:$A$605,$A64,$B$6:$B$605,"&lt;="&amp;$C64,$C$6:$C$605,"&gt;="&amp;$B64)&gt;1,"Überschneidet sich mit eigenem Wunsch",IF(OR($B64&lt;Einstellungen!$B$3,$C64&gt;Einstellungen!$B$4),"Teils außerhalb des Planungsjahres","ok"))))))</f>
        <v/>
      </c>
      <c r="J64" s="14"/>
    </row>
    <row r="65" customFormat="false" ht="15" hidden="false" customHeight="false" outlineLevel="0" collapsed="false">
      <c r="A65" s="15"/>
      <c r="B65" s="14"/>
      <c r="C65" s="14"/>
      <c r="D65" s="15"/>
      <c r="E65" s="15"/>
      <c r="F65" s="12" t="str">
        <f aca="false">IF($A65="","",IFERROR(INDEX(Team!$B$5:$B$64,MATCH($A65,Team!$A$5:$A$64,0)),"?"))</f>
        <v/>
      </c>
      <c r="G65" s="13" t="str">
        <f aca="false">IF($A65="","",COUNTIF($A$6:$A65,$A65)&amp;". Wunsch")</f>
        <v/>
      </c>
      <c r="H65" s="13" t="str">
        <f aca="false">IF(OR($A65="",$B65="",$C65="",$C65&lt;$B65),"",NETWORKDAYS($B65,$C65,Einstellungen!$N$7:$N$40))</f>
        <v/>
      </c>
      <c r="I65" s="12" t="str">
        <f aca="false">IF($A65="","",IF(OR($B65="",$C65=""),"Von und Bis eintragen",IF($C65&lt;$B65,"Bis liegt vor Von",IF(ISNA(MATCH($A65,Team!$A$5:$A$64,0)),"Name fehlt im Blatt Team",IF(COUNTIFS($A$6:$A$605,$A65,$B$6:$B$605,"&lt;="&amp;$C65,$C$6:$C$605,"&gt;="&amp;$B65)&gt;1,"Überschneidet sich mit eigenem Wunsch",IF(OR($B65&lt;Einstellungen!$B$3,$C65&gt;Einstellungen!$B$4),"Teils außerhalb des Planungsjahres","ok"))))))</f>
        <v/>
      </c>
      <c r="J65" s="14"/>
    </row>
    <row r="66" customFormat="false" ht="15" hidden="false" customHeight="false" outlineLevel="0" collapsed="false">
      <c r="A66" s="15"/>
      <c r="B66" s="14"/>
      <c r="C66" s="14"/>
      <c r="D66" s="15"/>
      <c r="E66" s="15"/>
      <c r="F66" s="12" t="str">
        <f aca="false">IF($A66="","",IFERROR(INDEX(Team!$B$5:$B$64,MATCH($A66,Team!$A$5:$A$64,0)),"?"))</f>
        <v/>
      </c>
      <c r="G66" s="13" t="str">
        <f aca="false">IF($A66="","",COUNTIF($A$6:$A66,$A66)&amp;". Wunsch")</f>
        <v/>
      </c>
      <c r="H66" s="13" t="str">
        <f aca="false">IF(OR($A66="",$B66="",$C66="",$C66&lt;$B66),"",NETWORKDAYS($B66,$C66,Einstellungen!$N$7:$N$40))</f>
        <v/>
      </c>
      <c r="I66" s="12" t="str">
        <f aca="false">IF($A66="","",IF(OR($B66="",$C66=""),"Von und Bis eintragen",IF($C66&lt;$B66,"Bis liegt vor Von",IF(ISNA(MATCH($A66,Team!$A$5:$A$64,0)),"Name fehlt im Blatt Team",IF(COUNTIFS($A$6:$A$605,$A66,$B$6:$B$605,"&lt;="&amp;$C66,$C$6:$C$605,"&gt;="&amp;$B66)&gt;1,"Überschneidet sich mit eigenem Wunsch",IF(OR($B66&lt;Einstellungen!$B$3,$C66&gt;Einstellungen!$B$4),"Teils außerhalb des Planungsjahres","ok"))))))</f>
        <v/>
      </c>
      <c r="J66" s="14"/>
    </row>
    <row r="67" customFormat="false" ht="15" hidden="false" customHeight="false" outlineLevel="0" collapsed="false">
      <c r="A67" s="15"/>
      <c r="B67" s="14"/>
      <c r="C67" s="14"/>
      <c r="D67" s="15"/>
      <c r="E67" s="15"/>
      <c r="F67" s="12" t="str">
        <f aca="false">IF($A67="","",IFERROR(INDEX(Team!$B$5:$B$64,MATCH($A67,Team!$A$5:$A$64,0)),"?"))</f>
        <v/>
      </c>
      <c r="G67" s="13" t="str">
        <f aca="false">IF($A67="","",COUNTIF($A$6:$A67,$A67)&amp;". Wunsch")</f>
        <v/>
      </c>
      <c r="H67" s="13" t="str">
        <f aca="false">IF(OR($A67="",$B67="",$C67="",$C67&lt;$B67),"",NETWORKDAYS($B67,$C67,Einstellungen!$N$7:$N$40))</f>
        <v/>
      </c>
      <c r="I67" s="12" t="str">
        <f aca="false">IF($A67="","",IF(OR($B67="",$C67=""),"Von und Bis eintragen",IF($C67&lt;$B67,"Bis liegt vor Von",IF(ISNA(MATCH($A67,Team!$A$5:$A$64,0)),"Name fehlt im Blatt Team",IF(COUNTIFS($A$6:$A$605,$A67,$B$6:$B$605,"&lt;="&amp;$C67,$C$6:$C$605,"&gt;="&amp;$B67)&gt;1,"Überschneidet sich mit eigenem Wunsch",IF(OR($B67&lt;Einstellungen!$B$3,$C67&gt;Einstellungen!$B$4),"Teils außerhalb des Planungsjahres","ok"))))))</f>
        <v/>
      </c>
      <c r="J67" s="14"/>
    </row>
    <row r="68" customFormat="false" ht="15" hidden="false" customHeight="false" outlineLevel="0" collapsed="false">
      <c r="A68" s="15"/>
      <c r="B68" s="14"/>
      <c r="C68" s="14"/>
      <c r="D68" s="15"/>
      <c r="E68" s="15"/>
      <c r="F68" s="12" t="str">
        <f aca="false">IF($A68="","",IFERROR(INDEX(Team!$B$5:$B$64,MATCH($A68,Team!$A$5:$A$64,0)),"?"))</f>
        <v/>
      </c>
      <c r="G68" s="13" t="str">
        <f aca="false">IF($A68="","",COUNTIF($A$6:$A68,$A68)&amp;". Wunsch")</f>
        <v/>
      </c>
      <c r="H68" s="13" t="str">
        <f aca="false">IF(OR($A68="",$B68="",$C68="",$C68&lt;$B68),"",NETWORKDAYS($B68,$C68,Einstellungen!$N$7:$N$40))</f>
        <v/>
      </c>
      <c r="I68" s="12" t="str">
        <f aca="false">IF($A68="","",IF(OR($B68="",$C68=""),"Von und Bis eintragen",IF($C68&lt;$B68,"Bis liegt vor Von",IF(ISNA(MATCH($A68,Team!$A$5:$A$64,0)),"Name fehlt im Blatt Team",IF(COUNTIFS($A$6:$A$605,$A68,$B$6:$B$605,"&lt;="&amp;$C68,$C$6:$C$605,"&gt;="&amp;$B68)&gt;1,"Überschneidet sich mit eigenem Wunsch",IF(OR($B68&lt;Einstellungen!$B$3,$C68&gt;Einstellungen!$B$4),"Teils außerhalb des Planungsjahres","ok"))))))</f>
        <v/>
      </c>
      <c r="J68" s="14"/>
    </row>
    <row r="69" customFormat="false" ht="15" hidden="false" customHeight="false" outlineLevel="0" collapsed="false">
      <c r="A69" s="15"/>
      <c r="B69" s="14"/>
      <c r="C69" s="14"/>
      <c r="D69" s="15"/>
      <c r="E69" s="15"/>
      <c r="F69" s="12" t="str">
        <f aca="false">IF($A69="","",IFERROR(INDEX(Team!$B$5:$B$64,MATCH($A69,Team!$A$5:$A$64,0)),"?"))</f>
        <v/>
      </c>
      <c r="G69" s="13" t="str">
        <f aca="false">IF($A69="","",COUNTIF($A$6:$A69,$A69)&amp;". Wunsch")</f>
        <v/>
      </c>
      <c r="H69" s="13" t="str">
        <f aca="false">IF(OR($A69="",$B69="",$C69="",$C69&lt;$B69),"",NETWORKDAYS($B69,$C69,Einstellungen!$N$7:$N$40))</f>
        <v/>
      </c>
      <c r="I69" s="12" t="str">
        <f aca="false">IF($A69="","",IF(OR($B69="",$C69=""),"Von und Bis eintragen",IF($C69&lt;$B69,"Bis liegt vor Von",IF(ISNA(MATCH($A69,Team!$A$5:$A$64,0)),"Name fehlt im Blatt Team",IF(COUNTIFS($A$6:$A$605,$A69,$B$6:$B$605,"&lt;="&amp;$C69,$C$6:$C$605,"&gt;="&amp;$B69)&gt;1,"Überschneidet sich mit eigenem Wunsch",IF(OR($B69&lt;Einstellungen!$B$3,$C69&gt;Einstellungen!$B$4),"Teils außerhalb des Planungsjahres","ok"))))))</f>
        <v/>
      </c>
      <c r="J69" s="14"/>
    </row>
    <row r="70" customFormat="false" ht="15" hidden="false" customHeight="false" outlineLevel="0" collapsed="false">
      <c r="A70" s="15"/>
      <c r="B70" s="14"/>
      <c r="C70" s="14"/>
      <c r="D70" s="15"/>
      <c r="E70" s="15"/>
      <c r="F70" s="12" t="str">
        <f aca="false">IF($A70="","",IFERROR(INDEX(Team!$B$5:$B$64,MATCH($A70,Team!$A$5:$A$64,0)),"?"))</f>
        <v/>
      </c>
      <c r="G70" s="13" t="str">
        <f aca="false">IF($A70="","",COUNTIF($A$6:$A70,$A70)&amp;". Wunsch")</f>
        <v/>
      </c>
      <c r="H70" s="13" t="str">
        <f aca="false">IF(OR($A70="",$B70="",$C70="",$C70&lt;$B70),"",NETWORKDAYS($B70,$C70,Einstellungen!$N$7:$N$40))</f>
        <v/>
      </c>
      <c r="I70" s="12" t="str">
        <f aca="false">IF($A70="","",IF(OR($B70="",$C70=""),"Von und Bis eintragen",IF($C70&lt;$B70,"Bis liegt vor Von",IF(ISNA(MATCH($A70,Team!$A$5:$A$64,0)),"Name fehlt im Blatt Team",IF(COUNTIFS($A$6:$A$605,$A70,$B$6:$B$605,"&lt;="&amp;$C70,$C$6:$C$605,"&gt;="&amp;$B70)&gt;1,"Überschneidet sich mit eigenem Wunsch",IF(OR($B70&lt;Einstellungen!$B$3,$C70&gt;Einstellungen!$B$4),"Teils außerhalb des Planungsjahres","ok"))))))</f>
        <v/>
      </c>
      <c r="J70" s="14"/>
    </row>
    <row r="71" customFormat="false" ht="15" hidden="false" customHeight="false" outlineLevel="0" collapsed="false">
      <c r="A71" s="15"/>
      <c r="B71" s="14"/>
      <c r="C71" s="14"/>
      <c r="D71" s="15"/>
      <c r="E71" s="15"/>
      <c r="F71" s="12" t="str">
        <f aca="false">IF($A71="","",IFERROR(INDEX(Team!$B$5:$B$64,MATCH($A71,Team!$A$5:$A$64,0)),"?"))</f>
        <v/>
      </c>
      <c r="G71" s="13" t="str">
        <f aca="false">IF($A71="","",COUNTIF($A$6:$A71,$A71)&amp;". Wunsch")</f>
        <v/>
      </c>
      <c r="H71" s="13" t="str">
        <f aca="false">IF(OR($A71="",$B71="",$C71="",$C71&lt;$B71),"",NETWORKDAYS($B71,$C71,Einstellungen!$N$7:$N$40))</f>
        <v/>
      </c>
      <c r="I71" s="12" t="str">
        <f aca="false">IF($A71="","",IF(OR($B71="",$C71=""),"Von und Bis eintragen",IF($C71&lt;$B71,"Bis liegt vor Von",IF(ISNA(MATCH($A71,Team!$A$5:$A$64,0)),"Name fehlt im Blatt Team",IF(COUNTIFS($A$6:$A$605,$A71,$B$6:$B$605,"&lt;="&amp;$C71,$C$6:$C$605,"&gt;="&amp;$B71)&gt;1,"Überschneidet sich mit eigenem Wunsch",IF(OR($B71&lt;Einstellungen!$B$3,$C71&gt;Einstellungen!$B$4),"Teils außerhalb des Planungsjahres","ok"))))))</f>
        <v/>
      </c>
      <c r="J71" s="14"/>
    </row>
    <row r="72" customFormat="false" ht="15" hidden="false" customHeight="false" outlineLevel="0" collapsed="false">
      <c r="A72" s="15"/>
      <c r="B72" s="14"/>
      <c r="C72" s="14"/>
      <c r="D72" s="15"/>
      <c r="E72" s="15"/>
      <c r="F72" s="12" t="str">
        <f aca="false">IF($A72="","",IFERROR(INDEX(Team!$B$5:$B$64,MATCH($A72,Team!$A$5:$A$64,0)),"?"))</f>
        <v/>
      </c>
      <c r="G72" s="13" t="str">
        <f aca="false">IF($A72="","",COUNTIF($A$6:$A72,$A72)&amp;". Wunsch")</f>
        <v/>
      </c>
      <c r="H72" s="13" t="str">
        <f aca="false">IF(OR($A72="",$B72="",$C72="",$C72&lt;$B72),"",NETWORKDAYS($B72,$C72,Einstellungen!$N$7:$N$40))</f>
        <v/>
      </c>
      <c r="I72" s="12" t="str">
        <f aca="false">IF($A72="","",IF(OR($B72="",$C72=""),"Von und Bis eintragen",IF($C72&lt;$B72,"Bis liegt vor Von",IF(ISNA(MATCH($A72,Team!$A$5:$A$64,0)),"Name fehlt im Blatt Team",IF(COUNTIFS($A$6:$A$605,$A72,$B$6:$B$605,"&lt;="&amp;$C72,$C$6:$C$605,"&gt;="&amp;$B72)&gt;1,"Überschneidet sich mit eigenem Wunsch",IF(OR($B72&lt;Einstellungen!$B$3,$C72&gt;Einstellungen!$B$4),"Teils außerhalb des Planungsjahres","ok"))))))</f>
        <v/>
      </c>
      <c r="J72" s="14"/>
    </row>
    <row r="73" customFormat="false" ht="15" hidden="false" customHeight="false" outlineLevel="0" collapsed="false">
      <c r="A73" s="15"/>
      <c r="B73" s="14"/>
      <c r="C73" s="14"/>
      <c r="D73" s="15"/>
      <c r="E73" s="15"/>
      <c r="F73" s="12" t="str">
        <f aca="false">IF($A73="","",IFERROR(INDEX(Team!$B$5:$B$64,MATCH($A73,Team!$A$5:$A$64,0)),"?"))</f>
        <v/>
      </c>
      <c r="G73" s="13" t="str">
        <f aca="false">IF($A73="","",COUNTIF($A$6:$A73,$A73)&amp;". Wunsch")</f>
        <v/>
      </c>
      <c r="H73" s="13" t="str">
        <f aca="false">IF(OR($A73="",$B73="",$C73="",$C73&lt;$B73),"",NETWORKDAYS($B73,$C73,Einstellungen!$N$7:$N$40))</f>
        <v/>
      </c>
      <c r="I73" s="12" t="str">
        <f aca="false">IF($A73="","",IF(OR($B73="",$C73=""),"Von und Bis eintragen",IF($C73&lt;$B73,"Bis liegt vor Von",IF(ISNA(MATCH($A73,Team!$A$5:$A$64,0)),"Name fehlt im Blatt Team",IF(COUNTIFS($A$6:$A$605,$A73,$B$6:$B$605,"&lt;="&amp;$C73,$C$6:$C$605,"&gt;="&amp;$B73)&gt;1,"Überschneidet sich mit eigenem Wunsch",IF(OR($B73&lt;Einstellungen!$B$3,$C73&gt;Einstellungen!$B$4),"Teils außerhalb des Planungsjahres","ok"))))))</f>
        <v/>
      </c>
      <c r="J73" s="14"/>
    </row>
    <row r="74" customFormat="false" ht="15" hidden="false" customHeight="false" outlineLevel="0" collapsed="false">
      <c r="A74" s="15"/>
      <c r="B74" s="14"/>
      <c r="C74" s="14"/>
      <c r="D74" s="15"/>
      <c r="E74" s="15"/>
      <c r="F74" s="12" t="str">
        <f aca="false">IF($A74="","",IFERROR(INDEX(Team!$B$5:$B$64,MATCH($A74,Team!$A$5:$A$64,0)),"?"))</f>
        <v/>
      </c>
      <c r="G74" s="13" t="str">
        <f aca="false">IF($A74="","",COUNTIF($A$6:$A74,$A74)&amp;". Wunsch")</f>
        <v/>
      </c>
      <c r="H74" s="13" t="str">
        <f aca="false">IF(OR($A74="",$B74="",$C74="",$C74&lt;$B74),"",NETWORKDAYS($B74,$C74,Einstellungen!$N$7:$N$40))</f>
        <v/>
      </c>
      <c r="I74" s="12" t="str">
        <f aca="false">IF($A74="","",IF(OR($B74="",$C74=""),"Von und Bis eintragen",IF($C74&lt;$B74,"Bis liegt vor Von",IF(ISNA(MATCH($A74,Team!$A$5:$A$64,0)),"Name fehlt im Blatt Team",IF(COUNTIFS($A$6:$A$605,$A74,$B$6:$B$605,"&lt;="&amp;$C74,$C$6:$C$605,"&gt;="&amp;$B74)&gt;1,"Überschneidet sich mit eigenem Wunsch",IF(OR($B74&lt;Einstellungen!$B$3,$C74&gt;Einstellungen!$B$4),"Teils außerhalb des Planungsjahres","ok"))))))</f>
        <v/>
      </c>
      <c r="J74" s="14"/>
    </row>
    <row r="75" customFormat="false" ht="15" hidden="false" customHeight="false" outlineLevel="0" collapsed="false">
      <c r="A75" s="15"/>
      <c r="B75" s="14"/>
      <c r="C75" s="14"/>
      <c r="D75" s="15"/>
      <c r="E75" s="15"/>
      <c r="F75" s="12" t="str">
        <f aca="false">IF($A75="","",IFERROR(INDEX(Team!$B$5:$B$64,MATCH($A75,Team!$A$5:$A$64,0)),"?"))</f>
        <v/>
      </c>
      <c r="G75" s="13" t="str">
        <f aca="false">IF($A75="","",COUNTIF($A$6:$A75,$A75)&amp;". Wunsch")</f>
        <v/>
      </c>
      <c r="H75" s="13" t="str">
        <f aca="false">IF(OR($A75="",$B75="",$C75="",$C75&lt;$B75),"",NETWORKDAYS($B75,$C75,Einstellungen!$N$7:$N$40))</f>
        <v/>
      </c>
      <c r="I75" s="12" t="str">
        <f aca="false">IF($A75="","",IF(OR($B75="",$C75=""),"Von und Bis eintragen",IF($C75&lt;$B75,"Bis liegt vor Von",IF(ISNA(MATCH($A75,Team!$A$5:$A$64,0)),"Name fehlt im Blatt Team",IF(COUNTIFS($A$6:$A$605,$A75,$B$6:$B$605,"&lt;="&amp;$C75,$C$6:$C$605,"&gt;="&amp;$B75)&gt;1,"Überschneidet sich mit eigenem Wunsch",IF(OR($B75&lt;Einstellungen!$B$3,$C75&gt;Einstellungen!$B$4),"Teils außerhalb des Planungsjahres","ok"))))))</f>
        <v/>
      </c>
      <c r="J75" s="14"/>
    </row>
    <row r="76" customFormat="false" ht="15" hidden="false" customHeight="false" outlineLevel="0" collapsed="false">
      <c r="A76" s="15"/>
      <c r="B76" s="14"/>
      <c r="C76" s="14"/>
      <c r="D76" s="15"/>
      <c r="E76" s="15"/>
      <c r="F76" s="12" t="str">
        <f aca="false">IF($A76="","",IFERROR(INDEX(Team!$B$5:$B$64,MATCH($A76,Team!$A$5:$A$64,0)),"?"))</f>
        <v/>
      </c>
      <c r="G76" s="13" t="str">
        <f aca="false">IF($A76="","",COUNTIF($A$6:$A76,$A76)&amp;". Wunsch")</f>
        <v/>
      </c>
      <c r="H76" s="13" t="str">
        <f aca="false">IF(OR($A76="",$B76="",$C76="",$C76&lt;$B76),"",NETWORKDAYS($B76,$C76,Einstellungen!$N$7:$N$40))</f>
        <v/>
      </c>
      <c r="I76" s="12" t="str">
        <f aca="false">IF($A76="","",IF(OR($B76="",$C76=""),"Von und Bis eintragen",IF($C76&lt;$B76,"Bis liegt vor Von",IF(ISNA(MATCH($A76,Team!$A$5:$A$64,0)),"Name fehlt im Blatt Team",IF(COUNTIFS($A$6:$A$605,$A76,$B$6:$B$605,"&lt;="&amp;$C76,$C$6:$C$605,"&gt;="&amp;$B76)&gt;1,"Überschneidet sich mit eigenem Wunsch",IF(OR($B76&lt;Einstellungen!$B$3,$C76&gt;Einstellungen!$B$4),"Teils außerhalb des Planungsjahres","ok"))))))</f>
        <v/>
      </c>
      <c r="J76" s="14"/>
    </row>
    <row r="77" customFormat="false" ht="15" hidden="false" customHeight="false" outlineLevel="0" collapsed="false">
      <c r="A77" s="15"/>
      <c r="B77" s="14"/>
      <c r="C77" s="14"/>
      <c r="D77" s="15"/>
      <c r="E77" s="15"/>
      <c r="F77" s="12" t="str">
        <f aca="false">IF($A77="","",IFERROR(INDEX(Team!$B$5:$B$64,MATCH($A77,Team!$A$5:$A$64,0)),"?"))</f>
        <v/>
      </c>
      <c r="G77" s="13" t="str">
        <f aca="false">IF($A77="","",COUNTIF($A$6:$A77,$A77)&amp;". Wunsch")</f>
        <v/>
      </c>
      <c r="H77" s="13" t="str">
        <f aca="false">IF(OR($A77="",$B77="",$C77="",$C77&lt;$B77),"",NETWORKDAYS($B77,$C77,Einstellungen!$N$7:$N$40))</f>
        <v/>
      </c>
      <c r="I77" s="12" t="str">
        <f aca="false">IF($A77="","",IF(OR($B77="",$C77=""),"Von und Bis eintragen",IF($C77&lt;$B77,"Bis liegt vor Von",IF(ISNA(MATCH($A77,Team!$A$5:$A$64,0)),"Name fehlt im Blatt Team",IF(COUNTIFS($A$6:$A$605,$A77,$B$6:$B$605,"&lt;="&amp;$C77,$C$6:$C$605,"&gt;="&amp;$B77)&gt;1,"Überschneidet sich mit eigenem Wunsch",IF(OR($B77&lt;Einstellungen!$B$3,$C77&gt;Einstellungen!$B$4),"Teils außerhalb des Planungsjahres","ok"))))))</f>
        <v/>
      </c>
      <c r="J77" s="14"/>
    </row>
    <row r="78" customFormat="false" ht="15" hidden="false" customHeight="false" outlineLevel="0" collapsed="false">
      <c r="A78" s="15"/>
      <c r="B78" s="14"/>
      <c r="C78" s="14"/>
      <c r="D78" s="15"/>
      <c r="E78" s="15"/>
      <c r="F78" s="12" t="str">
        <f aca="false">IF($A78="","",IFERROR(INDEX(Team!$B$5:$B$64,MATCH($A78,Team!$A$5:$A$64,0)),"?"))</f>
        <v/>
      </c>
      <c r="G78" s="13" t="str">
        <f aca="false">IF($A78="","",COUNTIF($A$6:$A78,$A78)&amp;". Wunsch")</f>
        <v/>
      </c>
      <c r="H78" s="13" t="str">
        <f aca="false">IF(OR($A78="",$B78="",$C78="",$C78&lt;$B78),"",NETWORKDAYS($B78,$C78,Einstellungen!$N$7:$N$40))</f>
        <v/>
      </c>
      <c r="I78" s="12" t="str">
        <f aca="false">IF($A78="","",IF(OR($B78="",$C78=""),"Von und Bis eintragen",IF($C78&lt;$B78,"Bis liegt vor Von",IF(ISNA(MATCH($A78,Team!$A$5:$A$64,0)),"Name fehlt im Blatt Team",IF(COUNTIFS($A$6:$A$605,$A78,$B$6:$B$605,"&lt;="&amp;$C78,$C$6:$C$605,"&gt;="&amp;$B78)&gt;1,"Überschneidet sich mit eigenem Wunsch",IF(OR($B78&lt;Einstellungen!$B$3,$C78&gt;Einstellungen!$B$4),"Teils außerhalb des Planungsjahres","ok"))))))</f>
        <v/>
      </c>
      <c r="J78" s="14"/>
    </row>
    <row r="79" customFormat="false" ht="15" hidden="false" customHeight="false" outlineLevel="0" collapsed="false">
      <c r="A79" s="15"/>
      <c r="B79" s="14"/>
      <c r="C79" s="14"/>
      <c r="D79" s="15"/>
      <c r="E79" s="15"/>
      <c r="F79" s="12" t="str">
        <f aca="false">IF($A79="","",IFERROR(INDEX(Team!$B$5:$B$64,MATCH($A79,Team!$A$5:$A$64,0)),"?"))</f>
        <v/>
      </c>
      <c r="G79" s="13" t="str">
        <f aca="false">IF($A79="","",COUNTIF($A$6:$A79,$A79)&amp;". Wunsch")</f>
        <v/>
      </c>
      <c r="H79" s="13" t="str">
        <f aca="false">IF(OR($A79="",$B79="",$C79="",$C79&lt;$B79),"",NETWORKDAYS($B79,$C79,Einstellungen!$N$7:$N$40))</f>
        <v/>
      </c>
      <c r="I79" s="12" t="str">
        <f aca="false">IF($A79="","",IF(OR($B79="",$C79=""),"Von und Bis eintragen",IF($C79&lt;$B79,"Bis liegt vor Von",IF(ISNA(MATCH($A79,Team!$A$5:$A$64,0)),"Name fehlt im Blatt Team",IF(COUNTIFS($A$6:$A$605,$A79,$B$6:$B$605,"&lt;="&amp;$C79,$C$6:$C$605,"&gt;="&amp;$B79)&gt;1,"Überschneidet sich mit eigenem Wunsch",IF(OR($B79&lt;Einstellungen!$B$3,$C79&gt;Einstellungen!$B$4),"Teils außerhalb des Planungsjahres","ok"))))))</f>
        <v/>
      </c>
      <c r="J79" s="14"/>
    </row>
    <row r="80" customFormat="false" ht="15" hidden="false" customHeight="false" outlineLevel="0" collapsed="false">
      <c r="A80" s="15"/>
      <c r="B80" s="14"/>
      <c r="C80" s="14"/>
      <c r="D80" s="15"/>
      <c r="E80" s="15"/>
      <c r="F80" s="12" t="str">
        <f aca="false">IF($A80="","",IFERROR(INDEX(Team!$B$5:$B$64,MATCH($A80,Team!$A$5:$A$64,0)),"?"))</f>
        <v/>
      </c>
      <c r="G80" s="13" t="str">
        <f aca="false">IF($A80="","",COUNTIF($A$6:$A80,$A80)&amp;". Wunsch")</f>
        <v/>
      </c>
      <c r="H80" s="13" t="str">
        <f aca="false">IF(OR($A80="",$B80="",$C80="",$C80&lt;$B80),"",NETWORKDAYS($B80,$C80,Einstellungen!$N$7:$N$40))</f>
        <v/>
      </c>
      <c r="I80" s="12" t="str">
        <f aca="false">IF($A80="","",IF(OR($B80="",$C80=""),"Von und Bis eintragen",IF($C80&lt;$B80,"Bis liegt vor Von",IF(ISNA(MATCH($A80,Team!$A$5:$A$64,0)),"Name fehlt im Blatt Team",IF(COUNTIFS($A$6:$A$605,$A80,$B$6:$B$605,"&lt;="&amp;$C80,$C$6:$C$605,"&gt;="&amp;$B80)&gt;1,"Überschneidet sich mit eigenem Wunsch",IF(OR($B80&lt;Einstellungen!$B$3,$C80&gt;Einstellungen!$B$4),"Teils außerhalb des Planungsjahres","ok"))))))</f>
        <v/>
      </c>
      <c r="J80" s="14"/>
    </row>
    <row r="81" customFormat="false" ht="15" hidden="false" customHeight="false" outlineLevel="0" collapsed="false">
      <c r="A81" s="15"/>
      <c r="B81" s="14"/>
      <c r="C81" s="14"/>
      <c r="D81" s="15"/>
      <c r="E81" s="15"/>
      <c r="F81" s="12" t="str">
        <f aca="false">IF($A81="","",IFERROR(INDEX(Team!$B$5:$B$64,MATCH($A81,Team!$A$5:$A$64,0)),"?"))</f>
        <v/>
      </c>
      <c r="G81" s="13" t="str">
        <f aca="false">IF($A81="","",COUNTIF($A$6:$A81,$A81)&amp;". Wunsch")</f>
        <v/>
      </c>
      <c r="H81" s="13" t="str">
        <f aca="false">IF(OR($A81="",$B81="",$C81="",$C81&lt;$B81),"",NETWORKDAYS($B81,$C81,Einstellungen!$N$7:$N$40))</f>
        <v/>
      </c>
      <c r="I81" s="12" t="str">
        <f aca="false">IF($A81="","",IF(OR($B81="",$C81=""),"Von und Bis eintragen",IF($C81&lt;$B81,"Bis liegt vor Von",IF(ISNA(MATCH($A81,Team!$A$5:$A$64,0)),"Name fehlt im Blatt Team",IF(COUNTIFS($A$6:$A$605,$A81,$B$6:$B$605,"&lt;="&amp;$C81,$C$6:$C$605,"&gt;="&amp;$B81)&gt;1,"Überschneidet sich mit eigenem Wunsch",IF(OR($B81&lt;Einstellungen!$B$3,$C81&gt;Einstellungen!$B$4),"Teils außerhalb des Planungsjahres","ok"))))))</f>
        <v/>
      </c>
      <c r="J81" s="14"/>
    </row>
    <row r="82" customFormat="false" ht="15" hidden="false" customHeight="false" outlineLevel="0" collapsed="false">
      <c r="A82" s="15"/>
      <c r="B82" s="14"/>
      <c r="C82" s="14"/>
      <c r="D82" s="15"/>
      <c r="E82" s="15"/>
      <c r="F82" s="12" t="str">
        <f aca="false">IF($A82="","",IFERROR(INDEX(Team!$B$5:$B$64,MATCH($A82,Team!$A$5:$A$64,0)),"?"))</f>
        <v/>
      </c>
      <c r="G82" s="13" t="str">
        <f aca="false">IF($A82="","",COUNTIF($A$6:$A82,$A82)&amp;". Wunsch")</f>
        <v/>
      </c>
      <c r="H82" s="13" t="str">
        <f aca="false">IF(OR($A82="",$B82="",$C82="",$C82&lt;$B82),"",NETWORKDAYS($B82,$C82,Einstellungen!$N$7:$N$40))</f>
        <v/>
      </c>
      <c r="I82" s="12" t="str">
        <f aca="false">IF($A82="","",IF(OR($B82="",$C82=""),"Von und Bis eintragen",IF($C82&lt;$B82,"Bis liegt vor Von",IF(ISNA(MATCH($A82,Team!$A$5:$A$64,0)),"Name fehlt im Blatt Team",IF(COUNTIFS($A$6:$A$605,$A82,$B$6:$B$605,"&lt;="&amp;$C82,$C$6:$C$605,"&gt;="&amp;$B82)&gt;1,"Überschneidet sich mit eigenem Wunsch",IF(OR($B82&lt;Einstellungen!$B$3,$C82&gt;Einstellungen!$B$4),"Teils außerhalb des Planungsjahres","ok"))))))</f>
        <v/>
      </c>
      <c r="J82" s="14"/>
    </row>
    <row r="83" customFormat="false" ht="15" hidden="false" customHeight="false" outlineLevel="0" collapsed="false">
      <c r="A83" s="15"/>
      <c r="B83" s="14"/>
      <c r="C83" s="14"/>
      <c r="D83" s="15"/>
      <c r="E83" s="15"/>
      <c r="F83" s="12" t="str">
        <f aca="false">IF($A83="","",IFERROR(INDEX(Team!$B$5:$B$64,MATCH($A83,Team!$A$5:$A$64,0)),"?"))</f>
        <v/>
      </c>
      <c r="G83" s="13" t="str">
        <f aca="false">IF($A83="","",COUNTIF($A$6:$A83,$A83)&amp;". Wunsch")</f>
        <v/>
      </c>
      <c r="H83" s="13" t="str">
        <f aca="false">IF(OR($A83="",$B83="",$C83="",$C83&lt;$B83),"",NETWORKDAYS($B83,$C83,Einstellungen!$N$7:$N$40))</f>
        <v/>
      </c>
      <c r="I83" s="12" t="str">
        <f aca="false">IF($A83="","",IF(OR($B83="",$C83=""),"Von und Bis eintragen",IF($C83&lt;$B83,"Bis liegt vor Von",IF(ISNA(MATCH($A83,Team!$A$5:$A$64,0)),"Name fehlt im Blatt Team",IF(COUNTIFS($A$6:$A$605,$A83,$B$6:$B$605,"&lt;="&amp;$C83,$C$6:$C$605,"&gt;="&amp;$B83)&gt;1,"Überschneidet sich mit eigenem Wunsch",IF(OR($B83&lt;Einstellungen!$B$3,$C83&gt;Einstellungen!$B$4),"Teils außerhalb des Planungsjahres","ok"))))))</f>
        <v/>
      </c>
      <c r="J83" s="14"/>
    </row>
    <row r="84" customFormat="false" ht="15" hidden="false" customHeight="false" outlineLevel="0" collapsed="false">
      <c r="A84" s="15"/>
      <c r="B84" s="14"/>
      <c r="C84" s="14"/>
      <c r="D84" s="15"/>
      <c r="E84" s="15"/>
      <c r="F84" s="12" t="str">
        <f aca="false">IF($A84="","",IFERROR(INDEX(Team!$B$5:$B$64,MATCH($A84,Team!$A$5:$A$64,0)),"?"))</f>
        <v/>
      </c>
      <c r="G84" s="13" t="str">
        <f aca="false">IF($A84="","",COUNTIF($A$6:$A84,$A84)&amp;". Wunsch")</f>
        <v/>
      </c>
      <c r="H84" s="13" t="str">
        <f aca="false">IF(OR($A84="",$B84="",$C84="",$C84&lt;$B84),"",NETWORKDAYS($B84,$C84,Einstellungen!$N$7:$N$40))</f>
        <v/>
      </c>
      <c r="I84" s="12" t="str">
        <f aca="false">IF($A84="","",IF(OR($B84="",$C84=""),"Von und Bis eintragen",IF($C84&lt;$B84,"Bis liegt vor Von",IF(ISNA(MATCH($A84,Team!$A$5:$A$64,0)),"Name fehlt im Blatt Team",IF(COUNTIFS($A$6:$A$605,$A84,$B$6:$B$605,"&lt;="&amp;$C84,$C$6:$C$605,"&gt;="&amp;$B84)&gt;1,"Überschneidet sich mit eigenem Wunsch",IF(OR($B84&lt;Einstellungen!$B$3,$C84&gt;Einstellungen!$B$4),"Teils außerhalb des Planungsjahres","ok"))))))</f>
        <v/>
      </c>
      <c r="J84" s="14"/>
    </row>
    <row r="85" customFormat="false" ht="15" hidden="false" customHeight="false" outlineLevel="0" collapsed="false">
      <c r="A85" s="15"/>
      <c r="B85" s="14"/>
      <c r="C85" s="14"/>
      <c r="D85" s="15"/>
      <c r="E85" s="15"/>
      <c r="F85" s="12" t="str">
        <f aca="false">IF($A85="","",IFERROR(INDEX(Team!$B$5:$B$64,MATCH($A85,Team!$A$5:$A$64,0)),"?"))</f>
        <v/>
      </c>
      <c r="G85" s="13" t="str">
        <f aca="false">IF($A85="","",COUNTIF($A$6:$A85,$A85)&amp;". Wunsch")</f>
        <v/>
      </c>
      <c r="H85" s="13" t="str">
        <f aca="false">IF(OR($A85="",$B85="",$C85="",$C85&lt;$B85),"",NETWORKDAYS($B85,$C85,Einstellungen!$N$7:$N$40))</f>
        <v/>
      </c>
      <c r="I85" s="12" t="str">
        <f aca="false">IF($A85="","",IF(OR($B85="",$C85=""),"Von und Bis eintragen",IF($C85&lt;$B85,"Bis liegt vor Von",IF(ISNA(MATCH($A85,Team!$A$5:$A$64,0)),"Name fehlt im Blatt Team",IF(COUNTIFS($A$6:$A$605,$A85,$B$6:$B$605,"&lt;="&amp;$C85,$C$6:$C$605,"&gt;="&amp;$B85)&gt;1,"Überschneidet sich mit eigenem Wunsch",IF(OR($B85&lt;Einstellungen!$B$3,$C85&gt;Einstellungen!$B$4),"Teils außerhalb des Planungsjahres","ok"))))))</f>
        <v/>
      </c>
      <c r="J85" s="14"/>
    </row>
    <row r="86" customFormat="false" ht="15" hidden="false" customHeight="false" outlineLevel="0" collapsed="false">
      <c r="A86" s="15"/>
      <c r="B86" s="14"/>
      <c r="C86" s="14"/>
      <c r="D86" s="15"/>
      <c r="E86" s="15"/>
      <c r="F86" s="12" t="str">
        <f aca="false">IF($A86="","",IFERROR(INDEX(Team!$B$5:$B$64,MATCH($A86,Team!$A$5:$A$64,0)),"?"))</f>
        <v/>
      </c>
      <c r="G86" s="13" t="str">
        <f aca="false">IF($A86="","",COUNTIF($A$6:$A86,$A86)&amp;". Wunsch")</f>
        <v/>
      </c>
      <c r="H86" s="13" t="str">
        <f aca="false">IF(OR($A86="",$B86="",$C86="",$C86&lt;$B86),"",NETWORKDAYS($B86,$C86,Einstellungen!$N$7:$N$40))</f>
        <v/>
      </c>
      <c r="I86" s="12" t="str">
        <f aca="false">IF($A86="","",IF(OR($B86="",$C86=""),"Von und Bis eintragen",IF($C86&lt;$B86,"Bis liegt vor Von",IF(ISNA(MATCH($A86,Team!$A$5:$A$64,0)),"Name fehlt im Blatt Team",IF(COUNTIFS($A$6:$A$605,$A86,$B$6:$B$605,"&lt;="&amp;$C86,$C$6:$C$605,"&gt;="&amp;$B86)&gt;1,"Überschneidet sich mit eigenem Wunsch",IF(OR($B86&lt;Einstellungen!$B$3,$C86&gt;Einstellungen!$B$4),"Teils außerhalb des Planungsjahres","ok"))))))</f>
        <v/>
      </c>
      <c r="J86" s="14"/>
    </row>
    <row r="87" customFormat="false" ht="15" hidden="false" customHeight="false" outlineLevel="0" collapsed="false">
      <c r="A87" s="15"/>
      <c r="B87" s="14"/>
      <c r="C87" s="14"/>
      <c r="D87" s="15"/>
      <c r="E87" s="15"/>
      <c r="F87" s="12" t="str">
        <f aca="false">IF($A87="","",IFERROR(INDEX(Team!$B$5:$B$64,MATCH($A87,Team!$A$5:$A$64,0)),"?"))</f>
        <v/>
      </c>
      <c r="G87" s="13" t="str">
        <f aca="false">IF($A87="","",COUNTIF($A$6:$A87,$A87)&amp;". Wunsch")</f>
        <v/>
      </c>
      <c r="H87" s="13" t="str">
        <f aca="false">IF(OR($A87="",$B87="",$C87="",$C87&lt;$B87),"",NETWORKDAYS($B87,$C87,Einstellungen!$N$7:$N$40))</f>
        <v/>
      </c>
      <c r="I87" s="12" t="str">
        <f aca="false">IF($A87="","",IF(OR($B87="",$C87=""),"Von und Bis eintragen",IF($C87&lt;$B87,"Bis liegt vor Von",IF(ISNA(MATCH($A87,Team!$A$5:$A$64,0)),"Name fehlt im Blatt Team",IF(COUNTIFS($A$6:$A$605,$A87,$B$6:$B$605,"&lt;="&amp;$C87,$C$6:$C$605,"&gt;="&amp;$B87)&gt;1,"Überschneidet sich mit eigenem Wunsch",IF(OR($B87&lt;Einstellungen!$B$3,$C87&gt;Einstellungen!$B$4),"Teils außerhalb des Planungsjahres","ok"))))))</f>
        <v/>
      </c>
      <c r="J87" s="14"/>
    </row>
    <row r="88" customFormat="false" ht="15" hidden="false" customHeight="false" outlineLevel="0" collapsed="false">
      <c r="A88" s="15"/>
      <c r="B88" s="14"/>
      <c r="C88" s="14"/>
      <c r="D88" s="15"/>
      <c r="E88" s="15"/>
      <c r="F88" s="12" t="str">
        <f aca="false">IF($A88="","",IFERROR(INDEX(Team!$B$5:$B$64,MATCH($A88,Team!$A$5:$A$64,0)),"?"))</f>
        <v/>
      </c>
      <c r="G88" s="13" t="str">
        <f aca="false">IF($A88="","",COUNTIF($A$6:$A88,$A88)&amp;". Wunsch")</f>
        <v/>
      </c>
      <c r="H88" s="13" t="str">
        <f aca="false">IF(OR($A88="",$B88="",$C88="",$C88&lt;$B88),"",NETWORKDAYS($B88,$C88,Einstellungen!$N$7:$N$40))</f>
        <v/>
      </c>
      <c r="I88" s="12" t="str">
        <f aca="false">IF($A88="","",IF(OR($B88="",$C88=""),"Von und Bis eintragen",IF($C88&lt;$B88,"Bis liegt vor Von",IF(ISNA(MATCH($A88,Team!$A$5:$A$64,0)),"Name fehlt im Blatt Team",IF(COUNTIFS($A$6:$A$605,$A88,$B$6:$B$605,"&lt;="&amp;$C88,$C$6:$C$605,"&gt;="&amp;$B88)&gt;1,"Überschneidet sich mit eigenem Wunsch",IF(OR($B88&lt;Einstellungen!$B$3,$C88&gt;Einstellungen!$B$4),"Teils außerhalb des Planungsjahres","ok"))))))</f>
        <v/>
      </c>
      <c r="J88" s="14"/>
    </row>
    <row r="89" customFormat="false" ht="15" hidden="false" customHeight="false" outlineLevel="0" collapsed="false">
      <c r="A89" s="15"/>
      <c r="B89" s="14"/>
      <c r="C89" s="14"/>
      <c r="D89" s="15"/>
      <c r="E89" s="15"/>
      <c r="F89" s="12" t="str">
        <f aca="false">IF($A89="","",IFERROR(INDEX(Team!$B$5:$B$64,MATCH($A89,Team!$A$5:$A$64,0)),"?"))</f>
        <v/>
      </c>
      <c r="G89" s="13" t="str">
        <f aca="false">IF($A89="","",COUNTIF($A$6:$A89,$A89)&amp;". Wunsch")</f>
        <v/>
      </c>
      <c r="H89" s="13" t="str">
        <f aca="false">IF(OR($A89="",$B89="",$C89="",$C89&lt;$B89),"",NETWORKDAYS($B89,$C89,Einstellungen!$N$7:$N$40))</f>
        <v/>
      </c>
      <c r="I89" s="12" t="str">
        <f aca="false">IF($A89="","",IF(OR($B89="",$C89=""),"Von und Bis eintragen",IF($C89&lt;$B89,"Bis liegt vor Von",IF(ISNA(MATCH($A89,Team!$A$5:$A$64,0)),"Name fehlt im Blatt Team",IF(COUNTIFS($A$6:$A$605,$A89,$B$6:$B$605,"&lt;="&amp;$C89,$C$6:$C$605,"&gt;="&amp;$B89)&gt;1,"Überschneidet sich mit eigenem Wunsch",IF(OR($B89&lt;Einstellungen!$B$3,$C89&gt;Einstellungen!$B$4),"Teils außerhalb des Planungsjahres","ok"))))))</f>
        <v/>
      </c>
      <c r="J89" s="14"/>
    </row>
    <row r="90" customFormat="false" ht="15" hidden="false" customHeight="false" outlineLevel="0" collapsed="false">
      <c r="A90" s="15"/>
      <c r="B90" s="14"/>
      <c r="C90" s="14"/>
      <c r="D90" s="15"/>
      <c r="E90" s="15"/>
      <c r="F90" s="12" t="str">
        <f aca="false">IF($A90="","",IFERROR(INDEX(Team!$B$5:$B$64,MATCH($A90,Team!$A$5:$A$64,0)),"?"))</f>
        <v/>
      </c>
      <c r="G90" s="13" t="str">
        <f aca="false">IF($A90="","",COUNTIF($A$6:$A90,$A90)&amp;". Wunsch")</f>
        <v/>
      </c>
      <c r="H90" s="13" t="str">
        <f aca="false">IF(OR($A90="",$B90="",$C90="",$C90&lt;$B90),"",NETWORKDAYS($B90,$C90,Einstellungen!$N$7:$N$40))</f>
        <v/>
      </c>
      <c r="I90" s="12" t="str">
        <f aca="false">IF($A90="","",IF(OR($B90="",$C90=""),"Von und Bis eintragen",IF($C90&lt;$B90,"Bis liegt vor Von",IF(ISNA(MATCH($A90,Team!$A$5:$A$64,0)),"Name fehlt im Blatt Team",IF(COUNTIFS($A$6:$A$605,$A90,$B$6:$B$605,"&lt;="&amp;$C90,$C$6:$C$605,"&gt;="&amp;$B90)&gt;1,"Überschneidet sich mit eigenem Wunsch",IF(OR($B90&lt;Einstellungen!$B$3,$C90&gt;Einstellungen!$B$4),"Teils außerhalb des Planungsjahres","ok"))))))</f>
        <v/>
      </c>
      <c r="J90" s="14"/>
    </row>
    <row r="91" customFormat="false" ht="15" hidden="false" customHeight="false" outlineLevel="0" collapsed="false">
      <c r="A91" s="15"/>
      <c r="B91" s="14"/>
      <c r="C91" s="14"/>
      <c r="D91" s="15"/>
      <c r="E91" s="15"/>
      <c r="F91" s="12" t="str">
        <f aca="false">IF($A91="","",IFERROR(INDEX(Team!$B$5:$B$64,MATCH($A91,Team!$A$5:$A$64,0)),"?"))</f>
        <v/>
      </c>
      <c r="G91" s="13" t="str">
        <f aca="false">IF($A91="","",COUNTIF($A$6:$A91,$A91)&amp;". Wunsch")</f>
        <v/>
      </c>
      <c r="H91" s="13" t="str">
        <f aca="false">IF(OR($A91="",$B91="",$C91="",$C91&lt;$B91),"",NETWORKDAYS($B91,$C91,Einstellungen!$N$7:$N$40))</f>
        <v/>
      </c>
      <c r="I91" s="12" t="str">
        <f aca="false">IF($A91="","",IF(OR($B91="",$C91=""),"Von und Bis eintragen",IF($C91&lt;$B91,"Bis liegt vor Von",IF(ISNA(MATCH($A91,Team!$A$5:$A$64,0)),"Name fehlt im Blatt Team",IF(COUNTIFS($A$6:$A$605,$A91,$B$6:$B$605,"&lt;="&amp;$C91,$C$6:$C$605,"&gt;="&amp;$B91)&gt;1,"Überschneidet sich mit eigenem Wunsch",IF(OR($B91&lt;Einstellungen!$B$3,$C91&gt;Einstellungen!$B$4),"Teils außerhalb des Planungsjahres","ok"))))))</f>
        <v/>
      </c>
      <c r="J91" s="14"/>
    </row>
    <row r="92" customFormat="false" ht="15" hidden="false" customHeight="false" outlineLevel="0" collapsed="false">
      <c r="A92" s="15"/>
      <c r="B92" s="14"/>
      <c r="C92" s="14"/>
      <c r="D92" s="15"/>
      <c r="E92" s="15"/>
      <c r="F92" s="12" t="str">
        <f aca="false">IF($A92="","",IFERROR(INDEX(Team!$B$5:$B$64,MATCH($A92,Team!$A$5:$A$64,0)),"?"))</f>
        <v/>
      </c>
      <c r="G92" s="13" t="str">
        <f aca="false">IF($A92="","",COUNTIF($A$6:$A92,$A92)&amp;". Wunsch")</f>
        <v/>
      </c>
      <c r="H92" s="13" t="str">
        <f aca="false">IF(OR($A92="",$B92="",$C92="",$C92&lt;$B92),"",NETWORKDAYS($B92,$C92,Einstellungen!$N$7:$N$40))</f>
        <v/>
      </c>
      <c r="I92" s="12" t="str">
        <f aca="false">IF($A92="","",IF(OR($B92="",$C92=""),"Von und Bis eintragen",IF($C92&lt;$B92,"Bis liegt vor Von",IF(ISNA(MATCH($A92,Team!$A$5:$A$64,0)),"Name fehlt im Blatt Team",IF(COUNTIFS($A$6:$A$605,$A92,$B$6:$B$605,"&lt;="&amp;$C92,$C$6:$C$605,"&gt;="&amp;$B92)&gt;1,"Überschneidet sich mit eigenem Wunsch",IF(OR($B92&lt;Einstellungen!$B$3,$C92&gt;Einstellungen!$B$4),"Teils außerhalb des Planungsjahres","ok"))))))</f>
        <v/>
      </c>
      <c r="J92" s="14"/>
    </row>
    <row r="93" customFormat="false" ht="15" hidden="false" customHeight="false" outlineLevel="0" collapsed="false">
      <c r="A93" s="15"/>
      <c r="B93" s="14"/>
      <c r="C93" s="14"/>
      <c r="D93" s="15"/>
      <c r="E93" s="15"/>
      <c r="F93" s="12" t="str">
        <f aca="false">IF($A93="","",IFERROR(INDEX(Team!$B$5:$B$64,MATCH($A93,Team!$A$5:$A$64,0)),"?"))</f>
        <v/>
      </c>
      <c r="G93" s="13" t="str">
        <f aca="false">IF($A93="","",COUNTIF($A$6:$A93,$A93)&amp;". Wunsch")</f>
        <v/>
      </c>
      <c r="H93" s="13" t="str">
        <f aca="false">IF(OR($A93="",$B93="",$C93="",$C93&lt;$B93),"",NETWORKDAYS($B93,$C93,Einstellungen!$N$7:$N$40))</f>
        <v/>
      </c>
      <c r="I93" s="12" t="str">
        <f aca="false">IF($A93="","",IF(OR($B93="",$C93=""),"Von und Bis eintragen",IF($C93&lt;$B93,"Bis liegt vor Von",IF(ISNA(MATCH($A93,Team!$A$5:$A$64,0)),"Name fehlt im Blatt Team",IF(COUNTIFS($A$6:$A$605,$A93,$B$6:$B$605,"&lt;="&amp;$C93,$C$6:$C$605,"&gt;="&amp;$B93)&gt;1,"Überschneidet sich mit eigenem Wunsch",IF(OR($B93&lt;Einstellungen!$B$3,$C93&gt;Einstellungen!$B$4),"Teils außerhalb des Planungsjahres","ok"))))))</f>
        <v/>
      </c>
      <c r="J93" s="14"/>
    </row>
    <row r="94" customFormat="false" ht="15" hidden="false" customHeight="false" outlineLevel="0" collapsed="false">
      <c r="A94" s="15"/>
      <c r="B94" s="14"/>
      <c r="C94" s="14"/>
      <c r="D94" s="15"/>
      <c r="E94" s="15"/>
      <c r="F94" s="12" t="str">
        <f aca="false">IF($A94="","",IFERROR(INDEX(Team!$B$5:$B$64,MATCH($A94,Team!$A$5:$A$64,0)),"?"))</f>
        <v/>
      </c>
      <c r="G94" s="13" t="str">
        <f aca="false">IF($A94="","",COUNTIF($A$6:$A94,$A94)&amp;". Wunsch")</f>
        <v/>
      </c>
      <c r="H94" s="13" t="str">
        <f aca="false">IF(OR($A94="",$B94="",$C94="",$C94&lt;$B94),"",NETWORKDAYS($B94,$C94,Einstellungen!$N$7:$N$40))</f>
        <v/>
      </c>
      <c r="I94" s="12" t="str">
        <f aca="false">IF($A94="","",IF(OR($B94="",$C94=""),"Von und Bis eintragen",IF($C94&lt;$B94,"Bis liegt vor Von",IF(ISNA(MATCH($A94,Team!$A$5:$A$64,0)),"Name fehlt im Blatt Team",IF(COUNTIFS($A$6:$A$605,$A94,$B$6:$B$605,"&lt;="&amp;$C94,$C$6:$C$605,"&gt;="&amp;$B94)&gt;1,"Überschneidet sich mit eigenem Wunsch",IF(OR($B94&lt;Einstellungen!$B$3,$C94&gt;Einstellungen!$B$4),"Teils außerhalb des Planungsjahres","ok"))))))</f>
        <v/>
      </c>
      <c r="J94" s="14"/>
    </row>
    <row r="95" customFormat="false" ht="15" hidden="false" customHeight="false" outlineLevel="0" collapsed="false">
      <c r="A95" s="15"/>
      <c r="B95" s="14"/>
      <c r="C95" s="14"/>
      <c r="D95" s="15"/>
      <c r="E95" s="15"/>
      <c r="F95" s="12" t="str">
        <f aca="false">IF($A95="","",IFERROR(INDEX(Team!$B$5:$B$64,MATCH($A95,Team!$A$5:$A$64,0)),"?"))</f>
        <v/>
      </c>
      <c r="G95" s="13" t="str">
        <f aca="false">IF($A95="","",COUNTIF($A$6:$A95,$A95)&amp;". Wunsch")</f>
        <v/>
      </c>
      <c r="H95" s="13" t="str">
        <f aca="false">IF(OR($A95="",$B95="",$C95="",$C95&lt;$B95),"",NETWORKDAYS($B95,$C95,Einstellungen!$N$7:$N$40))</f>
        <v/>
      </c>
      <c r="I95" s="12" t="str">
        <f aca="false">IF($A95="","",IF(OR($B95="",$C95=""),"Von und Bis eintragen",IF($C95&lt;$B95,"Bis liegt vor Von",IF(ISNA(MATCH($A95,Team!$A$5:$A$64,0)),"Name fehlt im Blatt Team",IF(COUNTIFS($A$6:$A$605,$A95,$B$6:$B$605,"&lt;="&amp;$C95,$C$6:$C$605,"&gt;="&amp;$B95)&gt;1,"Überschneidet sich mit eigenem Wunsch",IF(OR($B95&lt;Einstellungen!$B$3,$C95&gt;Einstellungen!$B$4),"Teils außerhalb des Planungsjahres","ok"))))))</f>
        <v/>
      </c>
      <c r="J95" s="14"/>
    </row>
    <row r="96" customFormat="false" ht="15" hidden="false" customHeight="false" outlineLevel="0" collapsed="false">
      <c r="A96" s="15"/>
      <c r="B96" s="14"/>
      <c r="C96" s="14"/>
      <c r="D96" s="15"/>
      <c r="E96" s="15"/>
      <c r="F96" s="12" t="str">
        <f aca="false">IF($A96="","",IFERROR(INDEX(Team!$B$5:$B$64,MATCH($A96,Team!$A$5:$A$64,0)),"?"))</f>
        <v/>
      </c>
      <c r="G96" s="13" t="str">
        <f aca="false">IF($A96="","",COUNTIF($A$6:$A96,$A96)&amp;". Wunsch")</f>
        <v/>
      </c>
      <c r="H96" s="13" t="str">
        <f aca="false">IF(OR($A96="",$B96="",$C96="",$C96&lt;$B96),"",NETWORKDAYS($B96,$C96,Einstellungen!$N$7:$N$40))</f>
        <v/>
      </c>
      <c r="I96" s="12" t="str">
        <f aca="false">IF($A96="","",IF(OR($B96="",$C96=""),"Von und Bis eintragen",IF($C96&lt;$B96,"Bis liegt vor Von",IF(ISNA(MATCH($A96,Team!$A$5:$A$64,0)),"Name fehlt im Blatt Team",IF(COUNTIFS($A$6:$A$605,$A96,$B$6:$B$605,"&lt;="&amp;$C96,$C$6:$C$605,"&gt;="&amp;$B96)&gt;1,"Überschneidet sich mit eigenem Wunsch",IF(OR($B96&lt;Einstellungen!$B$3,$C96&gt;Einstellungen!$B$4),"Teils außerhalb des Planungsjahres","ok"))))))</f>
        <v/>
      </c>
      <c r="J96" s="14"/>
    </row>
    <row r="97" customFormat="false" ht="15" hidden="false" customHeight="false" outlineLevel="0" collapsed="false">
      <c r="A97" s="15"/>
      <c r="B97" s="14"/>
      <c r="C97" s="14"/>
      <c r="D97" s="15"/>
      <c r="E97" s="15"/>
      <c r="F97" s="12" t="str">
        <f aca="false">IF($A97="","",IFERROR(INDEX(Team!$B$5:$B$64,MATCH($A97,Team!$A$5:$A$64,0)),"?"))</f>
        <v/>
      </c>
      <c r="G97" s="13" t="str">
        <f aca="false">IF($A97="","",COUNTIF($A$6:$A97,$A97)&amp;". Wunsch")</f>
        <v/>
      </c>
      <c r="H97" s="13" t="str">
        <f aca="false">IF(OR($A97="",$B97="",$C97="",$C97&lt;$B97),"",NETWORKDAYS($B97,$C97,Einstellungen!$N$7:$N$40))</f>
        <v/>
      </c>
      <c r="I97" s="12" t="str">
        <f aca="false">IF($A97="","",IF(OR($B97="",$C97=""),"Von und Bis eintragen",IF($C97&lt;$B97,"Bis liegt vor Von",IF(ISNA(MATCH($A97,Team!$A$5:$A$64,0)),"Name fehlt im Blatt Team",IF(COUNTIFS($A$6:$A$605,$A97,$B$6:$B$605,"&lt;="&amp;$C97,$C$6:$C$605,"&gt;="&amp;$B97)&gt;1,"Überschneidet sich mit eigenem Wunsch",IF(OR($B97&lt;Einstellungen!$B$3,$C97&gt;Einstellungen!$B$4),"Teils außerhalb des Planungsjahres","ok"))))))</f>
        <v/>
      </c>
      <c r="J97" s="14"/>
    </row>
    <row r="98" customFormat="false" ht="15" hidden="false" customHeight="false" outlineLevel="0" collapsed="false">
      <c r="A98" s="15"/>
      <c r="B98" s="14"/>
      <c r="C98" s="14"/>
      <c r="D98" s="15"/>
      <c r="E98" s="15"/>
      <c r="F98" s="12" t="str">
        <f aca="false">IF($A98="","",IFERROR(INDEX(Team!$B$5:$B$64,MATCH($A98,Team!$A$5:$A$64,0)),"?"))</f>
        <v/>
      </c>
      <c r="G98" s="13" t="str">
        <f aca="false">IF($A98="","",COUNTIF($A$6:$A98,$A98)&amp;". Wunsch")</f>
        <v/>
      </c>
      <c r="H98" s="13" t="str">
        <f aca="false">IF(OR($A98="",$B98="",$C98="",$C98&lt;$B98),"",NETWORKDAYS($B98,$C98,Einstellungen!$N$7:$N$40))</f>
        <v/>
      </c>
      <c r="I98" s="12" t="str">
        <f aca="false">IF($A98="","",IF(OR($B98="",$C98=""),"Von und Bis eintragen",IF($C98&lt;$B98,"Bis liegt vor Von",IF(ISNA(MATCH($A98,Team!$A$5:$A$64,0)),"Name fehlt im Blatt Team",IF(COUNTIFS($A$6:$A$605,$A98,$B$6:$B$605,"&lt;="&amp;$C98,$C$6:$C$605,"&gt;="&amp;$B98)&gt;1,"Überschneidet sich mit eigenem Wunsch",IF(OR($B98&lt;Einstellungen!$B$3,$C98&gt;Einstellungen!$B$4),"Teils außerhalb des Planungsjahres","ok"))))))</f>
        <v/>
      </c>
      <c r="J98" s="14"/>
    </row>
    <row r="99" customFormat="false" ht="15" hidden="false" customHeight="false" outlineLevel="0" collapsed="false">
      <c r="A99" s="15"/>
      <c r="B99" s="14"/>
      <c r="C99" s="14"/>
      <c r="D99" s="15"/>
      <c r="E99" s="15"/>
      <c r="F99" s="12" t="str">
        <f aca="false">IF($A99="","",IFERROR(INDEX(Team!$B$5:$B$64,MATCH($A99,Team!$A$5:$A$64,0)),"?"))</f>
        <v/>
      </c>
      <c r="G99" s="13" t="str">
        <f aca="false">IF($A99="","",COUNTIF($A$6:$A99,$A99)&amp;". Wunsch")</f>
        <v/>
      </c>
      <c r="H99" s="13" t="str">
        <f aca="false">IF(OR($A99="",$B99="",$C99="",$C99&lt;$B99),"",NETWORKDAYS($B99,$C99,Einstellungen!$N$7:$N$40))</f>
        <v/>
      </c>
      <c r="I99" s="12" t="str">
        <f aca="false">IF($A99="","",IF(OR($B99="",$C99=""),"Von und Bis eintragen",IF($C99&lt;$B99,"Bis liegt vor Von",IF(ISNA(MATCH($A99,Team!$A$5:$A$64,0)),"Name fehlt im Blatt Team",IF(COUNTIFS($A$6:$A$605,$A99,$B$6:$B$605,"&lt;="&amp;$C99,$C$6:$C$605,"&gt;="&amp;$B99)&gt;1,"Überschneidet sich mit eigenem Wunsch",IF(OR($B99&lt;Einstellungen!$B$3,$C99&gt;Einstellungen!$B$4),"Teils außerhalb des Planungsjahres","ok"))))))</f>
        <v/>
      </c>
      <c r="J99" s="14"/>
    </row>
    <row r="100" customFormat="false" ht="15" hidden="false" customHeight="false" outlineLevel="0" collapsed="false">
      <c r="A100" s="15"/>
      <c r="B100" s="14"/>
      <c r="C100" s="14"/>
      <c r="D100" s="15"/>
      <c r="E100" s="15"/>
      <c r="F100" s="12" t="str">
        <f aca="false">IF($A100="","",IFERROR(INDEX(Team!$B$5:$B$64,MATCH($A100,Team!$A$5:$A$64,0)),"?"))</f>
        <v/>
      </c>
      <c r="G100" s="13" t="str">
        <f aca="false">IF($A100="","",COUNTIF($A$6:$A100,$A100)&amp;". Wunsch")</f>
        <v/>
      </c>
      <c r="H100" s="13" t="str">
        <f aca="false">IF(OR($A100="",$B100="",$C100="",$C100&lt;$B100),"",NETWORKDAYS($B100,$C100,Einstellungen!$N$7:$N$40))</f>
        <v/>
      </c>
      <c r="I100" s="12" t="str">
        <f aca="false">IF($A100="","",IF(OR($B100="",$C100=""),"Von und Bis eintragen",IF($C100&lt;$B100,"Bis liegt vor Von",IF(ISNA(MATCH($A100,Team!$A$5:$A$64,0)),"Name fehlt im Blatt Team",IF(COUNTIFS($A$6:$A$605,$A100,$B$6:$B$605,"&lt;="&amp;$C100,$C$6:$C$605,"&gt;="&amp;$B100)&gt;1,"Überschneidet sich mit eigenem Wunsch",IF(OR($B100&lt;Einstellungen!$B$3,$C100&gt;Einstellungen!$B$4),"Teils außerhalb des Planungsjahres","ok"))))))</f>
        <v/>
      </c>
      <c r="J100" s="14"/>
    </row>
    <row r="101" customFormat="false" ht="15" hidden="false" customHeight="false" outlineLevel="0" collapsed="false">
      <c r="A101" s="15"/>
      <c r="B101" s="14"/>
      <c r="C101" s="14"/>
      <c r="D101" s="15"/>
      <c r="E101" s="15"/>
      <c r="F101" s="12" t="str">
        <f aca="false">IF($A101="","",IFERROR(INDEX(Team!$B$5:$B$64,MATCH($A101,Team!$A$5:$A$64,0)),"?"))</f>
        <v/>
      </c>
      <c r="G101" s="13" t="str">
        <f aca="false">IF($A101="","",COUNTIF($A$6:$A101,$A101)&amp;". Wunsch")</f>
        <v/>
      </c>
      <c r="H101" s="13" t="str">
        <f aca="false">IF(OR($A101="",$B101="",$C101="",$C101&lt;$B101),"",NETWORKDAYS($B101,$C101,Einstellungen!$N$7:$N$40))</f>
        <v/>
      </c>
      <c r="I101" s="12" t="str">
        <f aca="false">IF($A101="","",IF(OR($B101="",$C101=""),"Von und Bis eintragen",IF($C101&lt;$B101,"Bis liegt vor Von",IF(ISNA(MATCH($A101,Team!$A$5:$A$64,0)),"Name fehlt im Blatt Team",IF(COUNTIFS($A$6:$A$605,$A101,$B$6:$B$605,"&lt;="&amp;$C101,$C$6:$C$605,"&gt;="&amp;$B101)&gt;1,"Überschneidet sich mit eigenem Wunsch",IF(OR($B101&lt;Einstellungen!$B$3,$C101&gt;Einstellungen!$B$4),"Teils außerhalb des Planungsjahres","ok"))))))</f>
        <v/>
      </c>
      <c r="J101" s="14"/>
    </row>
    <row r="102" customFormat="false" ht="15" hidden="false" customHeight="false" outlineLevel="0" collapsed="false">
      <c r="A102" s="15"/>
      <c r="B102" s="14"/>
      <c r="C102" s="14"/>
      <c r="D102" s="15"/>
      <c r="E102" s="15"/>
      <c r="F102" s="12" t="str">
        <f aca="false">IF($A102="","",IFERROR(INDEX(Team!$B$5:$B$64,MATCH($A102,Team!$A$5:$A$64,0)),"?"))</f>
        <v/>
      </c>
      <c r="G102" s="13" t="str">
        <f aca="false">IF($A102="","",COUNTIF($A$6:$A102,$A102)&amp;". Wunsch")</f>
        <v/>
      </c>
      <c r="H102" s="13" t="str">
        <f aca="false">IF(OR($A102="",$B102="",$C102="",$C102&lt;$B102),"",NETWORKDAYS($B102,$C102,Einstellungen!$N$7:$N$40))</f>
        <v/>
      </c>
      <c r="I102" s="12" t="str">
        <f aca="false">IF($A102="","",IF(OR($B102="",$C102=""),"Von und Bis eintragen",IF($C102&lt;$B102,"Bis liegt vor Von",IF(ISNA(MATCH($A102,Team!$A$5:$A$64,0)),"Name fehlt im Blatt Team",IF(COUNTIFS($A$6:$A$605,$A102,$B$6:$B$605,"&lt;="&amp;$C102,$C$6:$C$605,"&gt;="&amp;$B102)&gt;1,"Überschneidet sich mit eigenem Wunsch",IF(OR($B102&lt;Einstellungen!$B$3,$C102&gt;Einstellungen!$B$4),"Teils außerhalb des Planungsjahres","ok"))))))</f>
        <v/>
      </c>
      <c r="J102" s="14"/>
    </row>
    <row r="103" customFormat="false" ht="15" hidden="false" customHeight="false" outlineLevel="0" collapsed="false">
      <c r="A103" s="15"/>
      <c r="B103" s="14"/>
      <c r="C103" s="14"/>
      <c r="D103" s="15"/>
      <c r="E103" s="15"/>
      <c r="F103" s="12" t="str">
        <f aca="false">IF($A103="","",IFERROR(INDEX(Team!$B$5:$B$64,MATCH($A103,Team!$A$5:$A$64,0)),"?"))</f>
        <v/>
      </c>
      <c r="G103" s="13" t="str">
        <f aca="false">IF($A103="","",COUNTIF($A$6:$A103,$A103)&amp;". Wunsch")</f>
        <v/>
      </c>
      <c r="H103" s="13" t="str">
        <f aca="false">IF(OR($A103="",$B103="",$C103="",$C103&lt;$B103),"",NETWORKDAYS($B103,$C103,Einstellungen!$N$7:$N$40))</f>
        <v/>
      </c>
      <c r="I103" s="12" t="str">
        <f aca="false">IF($A103="","",IF(OR($B103="",$C103=""),"Von und Bis eintragen",IF($C103&lt;$B103,"Bis liegt vor Von",IF(ISNA(MATCH($A103,Team!$A$5:$A$64,0)),"Name fehlt im Blatt Team",IF(COUNTIFS($A$6:$A$605,$A103,$B$6:$B$605,"&lt;="&amp;$C103,$C$6:$C$605,"&gt;="&amp;$B103)&gt;1,"Überschneidet sich mit eigenem Wunsch",IF(OR($B103&lt;Einstellungen!$B$3,$C103&gt;Einstellungen!$B$4),"Teils außerhalb des Planungsjahres","ok"))))))</f>
        <v/>
      </c>
      <c r="J103" s="14"/>
    </row>
    <row r="104" customFormat="false" ht="15" hidden="false" customHeight="false" outlineLevel="0" collapsed="false">
      <c r="A104" s="15"/>
      <c r="B104" s="14"/>
      <c r="C104" s="14"/>
      <c r="D104" s="15"/>
      <c r="E104" s="15"/>
      <c r="F104" s="12" t="str">
        <f aca="false">IF($A104="","",IFERROR(INDEX(Team!$B$5:$B$64,MATCH($A104,Team!$A$5:$A$64,0)),"?"))</f>
        <v/>
      </c>
      <c r="G104" s="13" t="str">
        <f aca="false">IF($A104="","",COUNTIF($A$6:$A104,$A104)&amp;". Wunsch")</f>
        <v/>
      </c>
      <c r="H104" s="13" t="str">
        <f aca="false">IF(OR($A104="",$B104="",$C104="",$C104&lt;$B104),"",NETWORKDAYS($B104,$C104,Einstellungen!$N$7:$N$40))</f>
        <v/>
      </c>
      <c r="I104" s="12" t="str">
        <f aca="false">IF($A104="","",IF(OR($B104="",$C104=""),"Von und Bis eintragen",IF($C104&lt;$B104,"Bis liegt vor Von",IF(ISNA(MATCH($A104,Team!$A$5:$A$64,0)),"Name fehlt im Blatt Team",IF(COUNTIFS($A$6:$A$605,$A104,$B$6:$B$605,"&lt;="&amp;$C104,$C$6:$C$605,"&gt;="&amp;$B104)&gt;1,"Überschneidet sich mit eigenem Wunsch",IF(OR($B104&lt;Einstellungen!$B$3,$C104&gt;Einstellungen!$B$4),"Teils außerhalb des Planungsjahres","ok"))))))</f>
        <v/>
      </c>
      <c r="J104" s="14"/>
    </row>
    <row r="105" customFormat="false" ht="15" hidden="false" customHeight="false" outlineLevel="0" collapsed="false">
      <c r="A105" s="15"/>
      <c r="B105" s="14"/>
      <c r="C105" s="14"/>
      <c r="D105" s="15"/>
      <c r="E105" s="15"/>
      <c r="F105" s="12" t="str">
        <f aca="false">IF($A105="","",IFERROR(INDEX(Team!$B$5:$B$64,MATCH($A105,Team!$A$5:$A$64,0)),"?"))</f>
        <v/>
      </c>
      <c r="G105" s="13" t="str">
        <f aca="false">IF($A105="","",COUNTIF($A$6:$A105,$A105)&amp;". Wunsch")</f>
        <v/>
      </c>
      <c r="H105" s="13" t="str">
        <f aca="false">IF(OR($A105="",$B105="",$C105="",$C105&lt;$B105),"",NETWORKDAYS($B105,$C105,Einstellungen!$N$7:$N$40))</f>
        <v/>
      </c>
      <c r="I105" s="12" t="str">
        <f aca="false">IF($A105="","",IF(OR($B105="",$C105=""),"Von und Bis eintragen",IF($C105&lt;$B105,"Bis liegt vor Von",IF(ISNA(MATCH($A105,Team!$A$5:$A$64,0)),"Name fehlt im Blatt Team",IF(COUNTIFS($A$6:$A$605,$A105,$B$6:$B$605,"&lt;="&amp;$C105,$C$6:$C$605,"&gt;="&amp;$B105)&gt;1,"Überschneidet sich mit eigenem Wunsch",IF(OR($B105&lt;Einstellungen!$B$3,$C105&gt;Einstellungen!$B$4),"Teils außerhalb des Planungsjahres","ok"))))))</f>
        <v/>
      </c>
      <c r="J105" s="14"/>
    </row>
    <row r="106" customFormat="false" ht="15" hidden="false" customHeight="false" outlineLevel="0" collapsed="false">
      <c r="A106" s="15"/>
      <c r="B106" s="14"/>
      <c r="C106" s="14"/>
      <c r="D106" s="15"/>
      <c r="E106" s="15"/>
      <c r="F106" s="12" t="str">
        <f aca="false">IF($A106="","",IFERROR(INDEX(Team!$B$5:$B$64,MATCH($A106,Team!$A$5:$A$64,0)),"?"))</f>
        <v/>
      </c>
      <c r="G106" s="13" t="str">
        <f aca="false">IF($A106="","",COUNTIF($A$6:$A106,$A106)&amp;". Wunsch")</f>
        <v/>
      </c>
      <c r="H106" s="13" t="str">
        <f aca="false">IF(OR($A106="",$B106="",$C106="",$C106&lt;$B106),"",NETWORKDAYS($B106,$C106,Einstellungen!$N$7:$N$40))</f>
        <v/>
      </c>
      <c r="I106" s="12" t="str">
        <f aca="false">IF($A106="","",IF(OR($B106="",$C106=""),"Von und Bis eintragen",IF($C106&lt;$B106,"Bis liegt vor Von",IF(ISNA(MATCH($A106,Team!$A$5:$A$64,0)),"Name fehlt im Blatt Team",IF(COUNTIFS($A$6:$A$605,$A106,$B$6:$B$605,"&lt;="&amp;$C106,$C$6:$C$605,"&gt;="&amp;$B106)&gt;1,"Überschneidet sich mit eigenem Wunsch",IF(OR($B106&lt;Einstellungen!$B$3,$C106&gt;Einstellungen!$B$4),"Teils außerhalb des Planungsjahres","ok"))))))</f>
        <v/>
      </c>
      <c r="J106" s="14"/>
    </row>
    <row r="107" customFormat="false" ht="15" hidden="false" customHeight="false" outlineLevel="0" collapsed="false">
      <c r="A107" s="15"/>
      <c r="B107" s="14"/>
      <c r="C107" s="14"/>
      <c r="D107" s="15"/>
      <c r="E107" s="15"/>
      <c r="F107" s="12" t="str">
        <f aca="false">IF($A107="","",IFERROR(INDEX(Team!$B$5:$B$64,MATCH($A107,Team!$A$5:$A$64,0)),"?"))</f>
        <v/>
      </c>
      <c r="G107" s="13" t="str">
        <f aca="false">IF($A107="","",COUNTIF($A$6:$A107,$A107)&amp;". Wunsch")</f>
        <v/>
      </c>
      <c r="H107" s="13" t="str">
        <f aca="false">IF(OR($A107="",$B107="",$C107="",$C107&lt;$B107),"",NETWORKDAYS($B107,$C107,Einstellungen!$N$7:$N$40))</f>
        <v/>
      </c>
      <c r="I107" s="12" t="str">
        <f aca="false">IF($A107="","",IF(OR($B107="",$C107=""),"Von und Bis eintragen",IF($C107&lt;$B107,"Bis liegt vor Von",IF(ISNA(MATCH($A107,Team!$A$5:$A$64,0)),"Name fehlt im Blatt Team",IF(COUNTIFS($A$6:$A$605,$A107,$B$6:$B$605,"&lt;="&amp;$C107,$C$6:$C$605,"&gt;="&amp;$B107)&gt;1,"Überschneidet sich mit eigenem Wunsch",IF(OR($B107&lt;Einstellungen!$B$3,$C107&gt;Einstellungen!$B$4),"Teils außerhalb des Planungsjahres","ok"))))))</f>
        <v/>
      </c>
      <c r="J107" s="14"/>
    </row>
    <row r="108" customFormat="false" ht="15" hidden="false" customHeight="false" outlineLevel="0" collapsed="false">
      <c r="A108" s="15"/>
      <c r="B108" s="14"/>
      <c r="C108" s="14"/>
      <c r="D108" s="15"/>
      <c r="E108" s="15"/>
      <c r="F108" s="12" t="str">
        <f aca="false">IF($A108="","",IFERROR(INDEX(Team!$B$5:$B$64,MATCH($A108,Team!$A$5:$A$64,0)),"?"))</f>
        <v/>
      </c>
      <c r="G108" s="13" t="str">
        <f aca="false">IF($A108="","",COUNTIF($A$6:$A108,$A108)&amp;". Wunsch")</f>
        <v/>
      </c>
      <c r="H108" s="13" t="str">
        <f aca="false">IF(OR($A108="",$B108="",$C108="",$C108&lt;$B108),"",NETWORKDAYS($B108,$C108,Einstellungen!$N$7:$N$40))</f>
        <v/>
      </c>
      <c r="I108" s="12" t="str">
        <f aca="false">IF($A108="","",IF(OR($B108="",$C108=""),"Von und Bis eintragen",IF($C108&lt;$B108,"Bis liegt vor Von",IF(ISNA(MATCH($A108,Team!$A$5:$A$64,0)),"Name fehlt im Blatt Team",IF(COUNTIFS($A$6:$A$605,$A108,$B$6:$B$605,"&lt;="&amp;$C108,$C$6:$C$605,"&gt;="&amp;$B108)&gt;1,"Überschneidet sich mit eigenem Wunsch",IF(OR($B108&lt;Einstellungen!$B$3,$C108&gt;Einstellungen!$B$4),"Teils außerhalb des Planungsjahres","ok"))))))</f>
        <v/>
      </c>
      <c r="J108" s="14"/>
    </row>
    <row r="109" customFormat="false" ht="15" hidden="false" customHeight="false" outlineLevel="0" collapsed="false">
      <c r="A109" s="15"/>
      <c r="B109" s="14"/>
      <c r="C109" s="14"/>
      <c r="D109" s="15"/>
      <c r="E109" s="15"/>
      <c r="F109" s="12" t="str">
        <f aca="false">IF($A109="","",IFERROR(INDEX(Team!$B$5:$B$64,MATCH($A109,Team!$A$5:$A$64,0)),"?"))</f>
        <v/>
      </c>
      <c r="G109" s="13" t="str">
        <f aca="false">IF($A109="","",COUNTIF($A$6:$A109,$A109)&amp;". Wunsch")</f>
        <v/>
      </c>
      <c r="H109" s="13" t="str">
        <f aca="false">IF(OR($A109="",$B109="",$C109="",$C109&lt;$B109),"",NETWORKDAYS($B109,$C109,Einstellungen!$N$7:$N$40))</f>
        <v/>
      </c>
      <c r="I109" s="12" t="str">
        <f aca="false">IF($A109="","",IF(OR($B109="",$C109=""),"Von und Bis eintragen",IF($C109&lt;$B109,"Bis liegt vor Von",IF(ISNA(MATCH($A109,Team!$A$5:$A$64,0)),"Name fehlt im Blatt Team",IF(COUNTIFS($A$6:$A$605,$A109,$B$6:$B$605,"&lt;="&amp;$C109,$C$6:$C$605,"&gt;="&amp;$B109)&gt;1,"Überschneidet sich mit eigenem Wunsch",IF(OR($B109&lt;Einstellungen!$B$3,$C109&gt;Einstellungen!$B$4),"Teils außerhalb des Planungsjahres","ok"))))))</f>
        <v/>
      </c>
      <c r="J109" s="14"/>
    </row>
    <row r="110" customFormat="false" ht="15" hidden="false" customHeight="false" outlineLevel="0" collapsed="false">
      <c r="A110" s="15"/>
      <c r="B110" s="14"/>
      <c r="C110" s="14"/>
      <c r="D110" s="15"/>
      <c r="E110" s="15"/>
      <c r="F110" s="12" t="str">
        <f aca="false">IF($A110="","",IFERROR(INDEX(Team!$B$5:$B$64,MATCH($A110,Team!$A$5:$A$64,0)),"?"))</f>
        <v/>
      </c>
      <c r="G110" s="13" t="str">
        <f aca="false">IF($A110="","",COUNTIF($A$6:$A110,$A110)&amp;". Wunsch")</f>
        <v/>
      </c>
      <c r="H110" s="13" t="str">
        <f aca="false">IF(OR($A110="",$B110="",$C110="",$C110&lt;$B110),"",NETWORKDAYS($B110,$C110,Einstellungen!$N$7:$N$40))</f>
        <v/>
      </c>
      <c r="I110" s="12" t="str">
        <f aca="false">IF($A110="","",IF(OR($B110="",$C110=""),"Von und Bis eintragen",IF($C110&lt;$B110,"Bis liegt vor Von",IF(ISNA(MATCH($A110,Team!$A$5:$A$64,0)),"Name fehlt im Blatt Team",IF(COUNTIFS($A$6:$A$605,$A110,$B$6:$B$605,"&lt;="&amp;$C110,$C$6:$C$605,"&gt;="&amp;$B110)&gt;1,"Überschneidet sich mit eigenem Wunsch",IF(OR($B110&lt;Einstellungen!$B$3,$C110&gt;Einstellungen!$B$4),"Teils außerhalb des Planungsjahres","ok"))))))</f>
        <v/>
      </c>
      <c r="J110" s="14"/>
    </row>
    <row r="111" customFormat="false" ht="15" hidden="false" customHeight="false" outlineLevel="0" collapsed="false">
      <c r="A111" s="15"/>
      <c r="B111" s="14"/>
      <c r="C111" s="14"/>
      <c r="D111" s="15"/>
      <c r="E111" s="15"/>
      <c r="F111" s="12" t="str">
        <f aca="false">IF($A111="","",IFERROR(INDEX(Team!$B$5:$B$64,MATCH($A111,Team!$A$5:$A$64,0)),"?"))</f>
        <v/>
      </c>
      <c r="G111" s="13" t="str">
        <f aca="false">IF($A111="","",COUNTIF($A$6:$A111,$A111)&amp;". Wunsch")</f>
        <v/>
      </c>
      <c r="H111" s="13" t="str">
        <f aca="false">IF(OR($A111="",$B111="",$C111="",$C111&lt;$B111),"",NETWORKDAYS($B111,$C111,Einstellungen!$N$7:$N$40))</f>
        <v/>
      </c>
      <c r="I111" s="12" t="str">
        <f aca="false">IF($A111="","",IF(OR($B111="",$C111=""),"Von und Bis eintragen",IF($C111&lt;$B111,"Bis liegt vor Von",IF(ISNA(MATCH($A111,Team!$A$5:$A$64,0)),"Name fehlt im Blatt Team",IF(COUNTIFS($A$6:$A$605,$A111,$B$6:$B$605,"&lt;="&amp;$C111,$C$6:$C$605,"&gt;="&amp;$B111)&gt;1,"Überschneidet sich mit eigenem Wunsch",IF(OR($B111&lt;Einstellungen!$B$3,$C111&gt;Einstellungen!$B$4),"Teils außerhalb des Planungsjahres","ok"))))))</f>
        <v/>
      </c>
      <c r="J111" s="14"/>
    </row>
    <row r="112" customFormat="false" ht="15" hidden="false" customHeight="false" outlineLevel="0" collapsed="false">
      <c r="A112" s="15"/>
      <c r="B112" s="14"/>
      <c r="C112" s="14"/>
      <c r="D112" s="15"/>
      <c r="E112" s="15"/>
      <c r="F112" s="12" t="str">
        <f aca="false">IF($A112="","",IFERROR(INDEX(Team!$B$5:$B$64,MATCH($A112,Team!$A$5:$A$64,0)),"?"))</f>
        <v/>
      </c>
      <c r="G112" s="13" t="str">
        <f aca="false">IF($A112="","",COUNTIF($A$6:$A112,$A112)&amp;". Wunsch")</f>
        <v/>
      </c>
      <c r="H112" s="13" t="str">
        <f aca="false">IF(OR($A112="",$B112="",$C112="",$C112&lt;$B112),"",NETWORKDAYS($B112,$C112,Einstellungen!$N$7:$N$40))</f>
        <v/>
      </c>
      <c r="I112" s="12" t="str">
        <f aca="false">IF($A112="","",IF(OR($B112="",$C112=""),"Von und Bis eintragen",IF($C112&lt;$B112,"Bis liegt vor Von",IF(ISNA(MATCH($A112,Team!$A$5:$A$64,0)),"Name fehlt im Blatt Team",IF(COUNTIFS($A$6:$A$605,$A112,$B$6:$B$605,"&lt;="&amp;$C112,$C$6:$C$605,"&gt;="&amp;$B112)&gt;1,"Überschneidet sich mit eigenem Wunsch",IF(OR($B112&lt;Einstellungen!$B$3,$C112&gt;Einstellungen!$B$4),"Teils außerhalb des Planungsjahres","ok"))))))</f>
        <v/>
      </c>
      <c r="J112" s="14"/>
    </row>
    <row r="113" customFormat="false" ht="15" hidden="false" customHeight="false" outlineLevel="0" collapsed="false">
      <c r="A113" s="15"/>
      <c r="B113" s="14"/>
      <c r="C113" s="14"/>
      <c r="D113" s="15"/>
      <c r="E113" s="15"/>
      <c r="F113" s="12" t="str">
        <f aca="false">IF($A113="","",IFERROR(INDEX(Team!$B$5:$B$64,MATCH($A113,Team!$A$5:$A$64,0)),"?"))</f>
        <v/>
      </c>
      <c r="G113" s="13" t="str">
        <f aca="false">IF($A113="","",COUNTIF($A$6:$A113,$A113)&amp;". Wunsch")</f>
        <v/>
      </c>
      <c r="H113" s="13" t="str">
        <f aca="false">IF(OR($A113="",$B113="",$C113="",$C113&lt;$B113),"",NETWORKDAYS($B113,$C113,Einstellungen!$N$7:$N$40))</f>
        <v/>
      </c>
      <c r="I113" s="12" t="str">
        <f aca="false">IF($A113="","",IF(OR($B113="",$C113=""),"Von und Bis eintragen",IF($C113&lt;$B113,"Bis liegt vor Von",IF(ISNA(MATCH($A113,Team!$A$5:$A$64,0)),"Name fehlt im Blatt Team",IF(COUNTIFS($A$6:$A$605,$A113,$B$6:$B$605,"&lt;="&amp;$C113,$C$6:$C$605,"&gt;="&amp;$B113)&gt;1,"Überschneidet sich mit eigenem Wunsch",IF(OR($B113&lt;Einstellungen!$B$3,$C113&gt;Einstellungen!$B$4),"Teils außerhalb des Planungsjahres","ok"))))))</f>
        <v/>
      </c>
      <c r="J113" s="14"/>
    </row>
    <row r="114" customFormat="false" ht="15" hidden="false" customHeight="false" outlineLevel="0" collapsed="false">
      <c r="A114" s="15"/>
      <c r="B114" s="14"/>
      <c r="C114" s="14"/>
      <c r="D114" s="15"/>
      <c r="E114" s="15"/>
      <c r="F114" s="12" t="str">
        <f aca="false">IF($A114="","",IFERROR(INDEX(Team!$B$5:$B$64,MATCH($A114,Team!$A$5:$A$64,0)),"?"))</f>
        <v/>
      </c>
      <c r="G114" s="13" t="str">
        <f aca="false">IF($A114="","",COUNTIF($A$6:$A114,$A114)&amp;". Wunsch")</f>
        <v/>
      </c>
      <c r="H114" s="13" t="str">
        <f aca="false">IF(OR($A114="",$B114="",$C114="",$C114&lt;$B114),"",NETWORKDAYS($B114,$C114,Einstellungen!$N$7:$N$40))</f>
        <v/>
      </c>
      <c r="I114" s="12" t="str">
        <f aca="false">IF($A114="","",IF(OR($B114="",$C114=""),"Von und Bis eintragen",IF($C114&lt;$B114,"Bis liegt vor Von",IF(ISNA(MATCH($A114,Team!$A$5:$A$64,0)),"Name fehlt im Blatt Team",IF(COUNTIFS($A$6:$A$605,$A114,$B$6:$B$605,"&lt;="&amp;$C114,$C$6:$C$605,"&gt;="&amp;$B114)&gt;1,"Überschneidet sich mit eigenem Wunsch",IF(OR($B114&lt;Einstellungen!$B$3,$C114&gt;Einstellungen!$B$4),"Teils außerhalb des Planungsjahres","ok"))))))</f>
        <v/>
      </c>
      <c r="J114" s="14"/>
    </row>
    <row r="115" customFormat="false" ht="15" hidden="false" customHeight="false" outlineLevel="0" collapsed="false">
      <c r="A115" s="15"/>
      <c r="B115" s="14"/>
      <c r="C115" s="14"/>
      <c r="D115" s="15"/>
      <c r="E115" s="15"/>
      <c r="F115" s="12" t="str">
        <f aca="false">IF($A115="","",IFERROR(INDEX(Team!$B$5:$B$64,MATCH($A115,Team!$A$5:$A$64,0)),"?"))</f>
        <v/>
      </c>
      <c r="G115" s="13" t="str">
        <f aca="false">IF($A115="","",COUNTIF($A$6:$A115,$A115)&amp;". Wunsch")</f>
        <v/>
      </c>
      <c r="H115" s="13" t="str">
        <f aca="false">IF(OR($A115="",$B115="",$C115="",$C115&lt;$B115),"",NETWORKDAYS($B115,$C115,Einstellungen!$N$7:$N$40))</f>
        <v/>
      </c>
      <c r="I115" s="12" t="str">
        <f aca="false">IF($A115="","",IF(OR($B115="",$C115=""),"Von und Bis eintragen",IF($C115&lt;$B115,"Bis liegt vor Von",IF(ISNA(MATCH($A115,Team!$A$5:$A$64,0)),"Name fehlt im Blatt Team",IF(COUNTIFS($A$6:$A$605,$A115,$B$6:$B$605,"&lt;="&amp;$C115,$C$6:$C$605,"&gt;="&amp;$B115)&gt;1,"Überschneidet sich mit eigenem Wunsch",IF(OR($B115&lt;Einstellungen!$B$3,$C115&gt;Einstellungen!$B$4),"Teils außerhalb des Planungsjahres","ok"))))))</f>
        <v/>
      </c>
      <c r="J115" s="14"/>
    </row>
    <row r="116" customFormat="false" ht="15" hidden="false" customHeight="false" outlineLevel="0" collapsed="false">
      <c r="A116" s="15"/>
      <c r="B116" s="14"/>
      <c r="C116" s="14"/>
      <c r="D116" s="15"/>
      <c r="E116" s="15"/>
      <c r="F116" s="12" t="str">
        <f aca="false">IF($A116="","",IFERROR(INDEX(Team!$B$5:$B$64,MATCH($A116,Team!$A$5:$A$64,0)),"?"))</f>
        <v/>
      </c>
      <c r="G116" s="13" t="str">
        <f aca="false">IF($A116="","",COUNTIF($A$6:$A116,$A116)&amp;". Wunsch")</f>
        <v/>
      </c>
      <c r="H116" s="13" t="str">
        <f aca="false">IF(OR($A116="",$B116="",$C116="",$C116&lt;$B116),"",NETWORKDAYS($B116,$C116,Einstellungen!$N$7:$N$40))</f>
        <v/>
      </c>
      <c r="I116" s="12" t="str">
        <f aca="false">IF($A116="","",IF(OR($B116="",$C116=""),"Von und Bis eintragen",IF($C116&lt;$B116,"Bis liegt vor Von",IF(ISNA(MATCH($A116,Team!$A$5:$A$64,0)),"Name fehlt im Blatt Team",IF(COUNTIFS($A$6:$A$605,$A116,$B$6:$B$605,"&lt;="&amp;$C116,$C$6:$C$605,"&gt;="&amp;$B116)&gt;1,"Überschneidet sich mit eigenem Wunsch",IF(OR($B116&lt;Einstellungen!$B$3,$C116&gt;Einstellungen!$B$4),"Teils außerhalb des Planungsjahres","ok"))))))</f>
        <v/>
      </c>
      <c r="J116" s="14"/>
    </row>
    <row r="117" customFormat="false" ht="15" hidden="false" customHeight="false" outlineLevel="0" collapsed="false">
      <c r="A117" s="15"/>
      <c r="B117" s="14"/>
      <c r="C117" s="14"/>
      <c r="D117" s="15"/>
      <c r="E117" s="15"/>
      <c r="F117" s="12" t="str">
        <f aca="false">IF($A117="","",IFERROR(INDEX(Team!$B$5:$B$64,MATCH($A117,Team!$A$5:$A$64,0)),"?"))</f>
        <v/>
      </c>
      <c r="G117" s="13" t="str">
        <f aca="false">IF($A117="","",COUNTIF($A$6:$A117,$A117)&amp;". Wunsch")</f>
        <v/>
      </c>
      <c r="H117" s="13" t="str">
        <f aca="false">IF(OR($A117="",$B117="",$C117="",$C117&lt;$B117),"",NETWORKDAYS($B117,$C117,Einstellungen!$N$7:$N$40))</f>
        <v/>
      </c>
      <c r="I117" s="12" t="str">
        <f aca="false">IF($A117="","",IF(OR($B117="",$C117=""),"Von und Bis eintragen",IF($C117&lt;$B117,"Bis liegt vor Von",IF(ISNA(MATCH($A117,Team!$A$5:$A$64,0)),"Name fehlt im Blatt Team",IF(COUNTIFS($A$6:$A$605,$A117,$B$6:$B$605,"&lt;="&amp;$C117,$C$6:$C$605,"&gt;="&amp;$B117)&gt;1,"Überschneidet sich mit eigenem Wunsch",IF(OR($B117&lt;Einstellungen!$B$3,$C117&gt;Einstellungen!$B$4),"Teils außerhalb des Planungsjahres","ok"))))))</f>
        <v/>
      </c>
      <c r="J117" s="14"/>
    </row>
    <row r="118" customFormat="false" ht="15" hidden="false" customHeight="false" outlineLevel="0" collapsed="false">
      <c r="A118" s="15"/>
      <c r="B118" s="14"/>
      <c r="C118" s="14"/>
      <c r="D118" s="15"/>
      <c r="E118" s="15"/>
      <c r="F118" s="12" t="str">
        <f aca="false">IF($A118="","",IFERROR(INDEX(Team!$B$5:$B$64,MATCH($A118,Team!$A$5:$A$64,0)),"?"))</f>
        <v/>
      </c>
      <c r="G118" s="13" t="str">
        <f aca="false">IF($A118="","",COUNTIF($A$6:$A118,$A118)&amp;". Wunsch")</f>
        <v/>
      </c>
      <c r="H118" s="13" t="str">
        <f aca="false">IF(OR($A118="",$B118="",$C118="",$C118&lt;$B118),"",NETWORKDAYS($B118,$C118,Einstellungen!$N$7:$N$40))</f>
        <v/>
      </c>
      <c r="I118" s="12" t="str">
        <f aca="false">IF($A118="","",IF(OR($B118="",$C118=""),"Von und Bis eintragen",IF($C118&lt;$B118,"Bis liegt vor Von",IF(ISNA(MATCH($A118,Team!$A$5:$A$64,0)),"Name fehlt im Blatt Team",IF(COUNTIFS($A$6:$A$605,$A118,$B$6:$B$605,"&lt;="&amp;$C118,$C$6:$C$605,"&gt;="&amp;$B118)&gt;1,"Überschneidet sich mit eigenem Wunsch",IF(OR($B118&lt;Einstellungen!$B$3,$C118&gt;Einstellungen!$B$4),"Teils außerhalb des Planungsjahres","ok"))))))</f>
        <v/>
      </c>
      <c r="J118" s="14"/>
    </row>
    <row r="119" customFormat="false" ht="15" hidden="false" customHeight="false" outlineLevel="0" collapsed="false">
      <c r="A119" s="15"/>
      <c r="B119" s="14"/>
      <c r="C119" s="14"/>
      <c r="D119" s="15"/>
      <c r="E119" s="15"/>
      <c r="F119" s="12" t="str">
        <f aca="false">IF($A119="","",IFERROR(INDEX(Team!$B$5:$B$64,MATCH($A119,Team!$A$5:$A$64,0)),"?"))</f>
        <v/>
      </c>
      <c r="G119" s="13" t="str">
        <f aca="false">IF($A119="","",COUNTIF($A$6:$A119,$A119)&amp;". Wunsch")</f>
        <v/>
      </c>
      <c r="H119" s="13" t="str">
        <f aca="false">IF(OR($A119="",$B119="",$C119="",$C119&lt;$B119),"",NETWORKDAYS($B119,$C119,Einstellungen!$N$7:$N$40))</f>
        <v/>
      </c>
      <c r="I119" s="12" t="str">
        <f aca="false">IF($A119="","",IF(OR($B119="",$C119=""),"Von und Bis eintragen",IF($C119&lt;$B119,"Bis liegt vor Von",IF(ISNA(MATCH($A119,Team!$A$5:$A$64,0)),"Name fehlt im Blatt Team",IF(COUNTIFS($A$6:$A$605,$A119,$B$6:$B$605,"&lt;="&amp;$C119,$C$6:$C$605,"&gt;="&amp;$B119)&gt;1,"Überschneidet sich mit eigenem Wunsch",IF(OR($B119&lt;Einstellungen!$B$3,$C119&gt;Einstellungen!$B$4),"Teils außerhalb des Planungsjahres","ok"))))))</f>
        <v/>
      </c>
      <c r="J119" s="14"/>
    </row>
    <row r="120" customFormat="false" ht="15" hidden="false" customHeight="false" outlineLevel="0" collapsed="false">
      <c r="A120" s="15"/>
      <c r="B120" s="14"/>
      <c r="C120" s="14"/>
      <c r="D120" s="15"/>
      <c r="E120" s="15"/>
      <c r="F120" s="12" t="str">
        <f aca="false">IF($A120="","",IFERROR(INDEX(Team!$B$5:$B$64,MATCH($A120,Team!$A$5:$A$64,0)),"?"))</f>
        <v/>
      </c>
      <c r="G120" s="13" t="str">
        <f aca="false">IF($A120="","",COUNTIF($A$6:$A120,$A120)&amp;". Wunsch")</f>
        <v/>
      </c>
      <c r="H120" s="13" t="str">
        <f aca="false">IF(OR($A120="",$B120="",$C120="",$C120&lt;$B120),"",NETWORKDAYS($B120,$C120,Einstellungen!$N$7:$N$40))</f>
        <v/>
      </c>
      <c r="I120" s="12" t="str">
        <f aca="false">IF($A120="","",IF(OR($B120="",$C120=""),"Von und Bis eintragen",IF($C120&lt;$B120,"Bis liegt vor Von",IF(ISNA(MATCH($A120,Team!$A$5:$A$64,0)),"Name fehlt im Blatt Team",IF(COUNTIFS($A$6:$A$605,$A120,$B$6:$B$605,"&lt;="&amp;$C120,$C$6:$C$605,"&gt;="&amp;$B120)&gt;1,"Überschneidet sich mit eigenem Wunsch",IF(OR($B120&lt;Einstellungen!$B$3,$C120&gt;Einstellungen!$B$4),"Teils außerhalb des Planungsjahres","ok"))))))</f>
        <v/>
      </c>
      <c r="J120" s="14"/>
    </row>
    <row r="121" customFormat="false" ht="15" hidden="false" customHeight="false" outlineLevel="0" collapsed="false">
      <c r="A121" s="15"/>
      <c r="B121" s="14"/>
      <c r="C121" s="14"/>
      <c r="D121" s="15"/>
      <c r="E121" s="15"/>
      <c r="F121" s="12" t="str">
        <f aca="false">IF($A121="","",IFERROR(INDEX(Team!$B$5:$B$64,MATCH($A121,Team!$A$5:$A$64,0)),"?"))</f>
        <v/>
      </c>
      <c r="G121" s="13" t="str">
        <f aca="false">IF($A121="","",COUNTIF($A$6:$A121,$A121)&amp;". Wunsch")</f>
        <v/>
      </c>
      <c r="H121" s="13" t="str">
        <f aca="false">IF(OR($A121="",$B121="",$C121="",$C121&lt;$B121),"",NETWORKDAYS($B121,$C121,Einstellungen!$N$7:$N$40))</f>
        <v/>
      </c>
      <c r="I121" s="12" t="str">
        <f aca="false">IF($A121="","",IF(OR($B121="",$C121=""),"Von und Bis eintragen",IF($C121&lt;$B121,"Bis liegt vor Von",IF(ISNA(MATCH($A121,Team!$A$5:$A$64,0)),"Name fehlt im Blatt Team",IF(COUNTIFS($A$6:$A$605,$A121,$B$6:$B$605,"&lt;="&amp;$C121,$C$6:$C$605,"&gt;="&amp;$B121)&gt;1,"Überschneidet sich mit eigenem Wunsch",IF(OR($B121&lt;Einstellungen!$B$3,$C121&gt;Einstellungen!$B$4),"Teils außerhalb des Planungsjahres","ok"))))))</f>
        <v/>
      </c>
      <c r="J121" s="14"/>
    </row>
    <row r="122" customFormat="false" ht="15" hidden="false" customHeight="false" outlineLevel="0" collapsed="false">
      <c r="A122" s="15"/>
      <c r="B122" s="14"/>
      <c r="C122" s="14"/>
      <c r="D122" s="15"/>
      <c r="E122" s="15"/>
      <c r="F122" s="12" t="str">
        <f aca="false">IF($A122="","",IFERROR(INDEX(Team!$B$5:$B$64,MATCH($A122,Team!$A$5:$A$64,0)),"?"))</f>
        <v/>
      </c>
      <c r="G122" s="13" t="str">
        <f aca="false">IF($A122="","",COUNTIF($A$6:$A122,$A122)&amp;". Wunsch")</f>
        <v/>
      </c>
      <c r="H122" s="13" t="str">
        <f aca="false">IF(OR($A122="",$B122="",$C122="",$C122&lt;$B122),"",NETWORKDAYS($B122,$C122,Einstellungen!$N$7:$N$40))</f>
        <v/>
      </c>
      <c r="I122" s="12" t="str">
        <f aca="false">IF($A122="","",IF(OR($B122="",$C122=""),"Von und Bis eintragen",IF($C122&lt;$B122,"Bis liegt vor Von",IF(ISNA(MATCH($A122,Team!$A$5:$A$64,0)),"Name fehlt im Blatt Team",IF(COUNTIFS($A$6:$A$605,$A122,$B$6:$B$605,"&lt;="&amp;$C122,$C$6:$C$605,"&gt;="&amp;$B122)&gt;1,"Überschneidet sich mit eigenem Wunsch",IF(OR($B122&lt;Einstellungen!$B$3,$C122&gt;Einstellungen!$B$4),"Teils außerhalb des Planungsjahres","ok"))))))</f>
        <v/>
      </c>
      <c r="J122" s="14"/>
    </row>
    <row r="123" customFormat="false" ht="15" hidden="false" customHeight="false" outlineLevel="0" collapsed="false">
      <c r="A123" s="15"/>
      <c r="B123" s="14"/>
      <c r="C123" s="14"/>
      <c r="D123" s="15"/>
      <c r="E123" s="15"/>
      <c r="F123" s="12" t="str">
        <f aca="false">IF($A123="","",IFERROR(INDEX(Team!$B$5:$B$64,MATCH($A123,Team!$A$5:$A$64,0)),"?"))</f>
        <v/>
      </c>
      <c r="G123" s="13" t="str">
        <f aca="false">IF($A123="","",COUNTIF($A$6:$A123,$A123)&amp;". Wunsch")</f>
        <v/>
      </c>
      <c r="H123" s="13" t="str">
        <f aca="false">IF(OR($A123="",$B123="",$C123="",$C123&lt;$B123),"",NETWORKDAYS($B123,$C123,Einstellungen!$N$7:$N$40))</f>
        <v/>
      </c>
      <c r="I123" s="12" t="str">
        <f aca="false">IF($A123="","",IF(OR($B123="",$C123=""),"Von und Bis eintragen",IF($C123&lt;$B123,"Bis liegt vor Von",IF(ISNA(MATCH($A123,Team!$A$5:$A$64,0)),"Name fehlt im Blatt Team",IF(COUNTIFS($A$6:$A$605,$A123,$B$6:$B$605,"&lt;="&amp;$C123,$C$6:$C$605,"&gt;="&amp;$B123)&gt;1,"Überschneidet sich mit eigenem Wunsch",IF(OR($B123&lt;Einstellungen!$B$3,$C123&gt;Einstellungen!$B$4),"Teils außerhalb des Planungsjahres","ok"))))))</f>
        <v/>
      </c>
      <c r="J123" s="14"/>
    </row>
    <row r="124" customFormat="false" ht="15" hidden="false" customHeight="false" outlineLevel="0" collapsed="false">
      <c r="A124" s="15"/>
      <c r="B124" s="14"/>
      <c r="C124" s="14"/>
      <c r="D124" s="15"/>
      <c r="E124" s="15"/>
      <c r="F124" s="12" t="str">
        <f aca="false">IF($A124="","",IFERROR(INDEX(Team!$B$5:$B$64,MATCH($A124,Team!$A$5:$A$64,0)),"?"))</f>
        <v/>
      </c>
      <c r="G124" s="13" t="str">
        <f aca="false">IF($A124="","",COUNTIF($A$6:$A124,$A124)&amp;". Wunsch")</f>
        <v/>
      </c>
      <c r="H124" s="13" t="str">
        <f aca="false">IF(OR($A124="",$B124="",$C124="",$C124&lt;$B124),"",NETWORKDAYS($B124,$C124,Einstellungen!$N$7:$N$40))</f>
        <v/>
      </c>
      <c r="I124" s="12" t="str">
        <f aca="false">IF($A124="","",IF(OR($B124="",$C124=""),"Von und Bis eintragen",IF($C124&lt;$B124,"Bis liegt vor Von",IF(ISNA(MATCH($A124,Team!$A$5:$A$64,0)),"Name fehlt im Blatt Team",IF(COUNTIFS($A$6:$A$605,$A124,$B$6:$B$605,"&lt;="&amp;$C124,$C$6:$C$605,"&gt;="&amp;$B124)&gt;1,"Überschneidet sich mit eigenem Wunsch",IF(OR($B124&lt;Einstellungen!$B$3,$C124&gt;Einstellungen!$B$4),"Teils außerhalb des Planungsjahres","ok"))))))</f>
        <v/>
      </c>
      <c r="J124" s="14"/>
    </row>
    <row r="125" customFormat="false" ht="15" hidden="false" customHeight="false" outlineLevel="0" collapsed="false">
      <c r="A125" s="15"/>
      <c r="B125" s="14"/>
      <c r="C125" s="14"/>
      <c r="D125" s="15"/>
      <c r="E125" s="15"/>
      <c r="F125" s="12" t="str">
        <f aca="false">IF($A125="","",IFERROR(INDEX(Team!$B$5:$B$64,MATCH($A125,Team!$A$5:$A$64,0)),"?"))</f>
        <v/>
      </c>
      <c r="G125" s="13" t="str">
        <f aca="false">IF($A125="","",COUNTIF($A$6:$A125,$A125)&amp;". Wunsch")</f>
        <v/>
      </c>
      <c r="H125" s="13" t="str">
        <f aca="false">IF(OR($A125="",$B125="",$C125="",$C125&lt;$B125),"",NETWORKDAYS($B125,$C125,Einstellungen!$N$7:$N$40))</f>
        <v/>
      </c>
      <c r="I125" s="12" t="str">
        <f aca="false">IF($A125="","",IF(OR($B125="",$C125=""),"Von und Bis eintragen",IF($C125&lt;$B125,"Bis liegt vor Von",IF(ISNA(MATCH($A125,Team!$A$5:$A$64,0)),"Name fehlt im Blatt Team",IF(COUNTIFS($A$6:$A$605,$A125,$B$6:$B$605,"&lt;="&amp;$C125,$C$6:$C$605,"&gt;="&amp;$B125)&gt;1,"Überschneidet sich mit eigenem Wunsch",IF(OR($B125&lt;Einstellungen!$B$3,$C125&gt;Einstellungen!$B$4),"Teils außerhalb des Planungsjahres","ok"))))))</f>
        <v/>
      </c>
      <c r="J125" s="14"/>
    </row>
    <row r="126" customFormat="false" ht="15" hidden="false" customHeight="false" outlineLevel="0" collapsed="false">
      <c r="A126" s="15"/>
      <c r="B126" s="14"/>
      <c r="C126" s="14"/>
      <c r="D126" s="15"/>
      <c r="E126" s="15"/>
      <c r="F126" s="12" t="str">
        <f aca="false">IF($A126="","",IFERROR(INDEX(Team!$B$5:$B$64,MATCH($A126,Team!$A$5:$A$64,0)),"?"))</f>
        <v/>
      </c>
      <c r="G126" s="13" t="str">
        <f aca="false">IF($A126="","",COUNTIF($A$6:$A126,$A126)&amp;". Wunsch")</f>
        <v/>
      </c>
      <c r="H126" s="13" t="str">
        <f aca="false">IF(OR($A126="",$B126="",$C126="",$C126&lt;$B126),"",NETWORKDAYS($B126,$C126,Einstellungen!$N$7:$N$40))</f>
        <v/>
      </c>
      <c r="I126" s="12" t="str">
        <f aca="false">IF($A126="","",IF(OR($B126="",$C126=""),"Von und Bis eintragen",IF($C126&lt;$B126,"Bis liegt vor Von",IF(ISNA(MATCH($A126,Team!$A$5:$A$64,0)),"Name fehlt im Blatt Team",IF(COUNTIFS($A$6:$A$605,$A126,$B$6:$B$605,"&lt;="&amp;$C126,$C$6:$C$605,"&gt;="&amp;$B126)&gt;1,"Überschneidet sich mit eigenem Wunsch",IF(OR($B126&lt;Einstellungen!$B$3,$C126&gt;Einstellungen!$B$4),"Teils außerhalb des Planungsjahres","ok"))))))</f>
        <v/>
      </c>
      <c r="J126" s="14"/>
    </row>
    <row r="127" customFormat="false" ht="15" hidden="false" customHeight="false" outlineLevel="0" collapsed="false">
      <c r="A127" s="15"/>
      <c r="B127" s="14"/>
      <c r="C127" s="14"/>
      <c r="D127" s="15"/>
      <c r="E127" s="15"/>
      <c r="F127" s="12" t="str">
        <f aca="false">IF($A127="","",IFERROR(INDEX(Team!$B$5:$B$64,MATCH($A127,Team!$A$5:$A$64,0)),"?"))</f>
        <v/>
      </c>
      <c r="G127" s="13" t="str">
        <f aca="false">IF($A127="","",COUNTIF($A$6:$A127,$A127)&amp;". Wunsch")</f>
        <v/>
      </c>
      <c r="H127" s="13" t="str">
        <f aca="false">IF(OR($A127="",$B127="",$C127="",$C127&lt;$B127),"",NETWORKDAYS($B127,$C127,Einstellungen!$N$7:$N$40))</f>
        <v/>
      </c>
      <c r="I127" s="12" t="str">
        <f aca="false">IF($A127="","",IF(OR($B127="",$C127=""),"Von und Bis eintragen",IF($C127&lt;$B127,"Bis liegt vor Von",IF(ISNA(MATCH($A127,Team!$A$5:$A$64,0)),"Name fehlt im Blatt Team",IF(COUNTIFS($A$6:$A$605,$A127,$B$6:$B$605,"&lt;="&amp;$C127,$C$6:$C$605,"&gt;="&amp;$B127)&gt;1,"Überschneidet sich mit eigenem Wunsch",IF(OR($B127&lt;Einstellungen!$B$3,$C127&gt;Einstellungen!$B$4),"Teils außerhalb des Planungsjahres","ok"))))))</f>
        <v/>
      </c>
      <c r="J127" s="14"/>
    </row>
    <row r="128" customFormat="false" ht="15" hidden="false" customHeight="false" outlineLevel="0" collapsed="false">
      <c r="A128" s="15"/>
      <c r="B128" s="14"/>
      <c r="C128" s="14"/>
      <c r="D128" s="15"/>
      <c r="E128" s="15"/>
      <c r="F128" s="12" t="str">
        <f aca="false">IF($A128="","",IFERROR(INDEX(Team!$B$5:$B$64,MATCH($A128,Team!$A$5:$A$64,0)),"?"))</f>
        <v/>
      </c>
      <c r="G128" s="13" t="str">
        <f aca="false">IF($A128="","",COUNTIF($A$6:$A128,$A128)&amp;". Wunsch")</f>
        <v/>
      </c>
      <c r="H128" s="13" t="str">
        <f aca="false">IF(OR($A128="",$B128="",$C128="",$C128&lt;$B128),"",NETWORKDAYS($B128,$C128,Einstellungen!$N$7:$N$40))</f>
        <v/>
      </c>
      <c r="I128" s="12" t="str">
        <f aca="false">IF($A128="","",IF(OR($B128="",$C128=""),"Von und Bis eintragen",IF($C128&lt;$B128,"Bis liegt vor Von",IF(ISNA(MATCH($A128,Team!$A$5:$A$64,0)),"Name fehlt im Blatt Team",IF(COUNTIFS($A$6:$A$605,$A128,$B$6:$B$605,"&lt;="&amp;$C128,$C$6:$C$605,"&gt;="&amp;$B128)&gt;1,"Überschneidet sich mit eigenem Wunsch",IF(OR($B128&lt;Einstellungen!$B$3,$C128&gt;Einstellungen!$B$4),"Teils außerhalb des Planungsjahres","ok"))))))</f>
        <v/>
      </c>
      <c r="J128" s="14"/>
    </row>
    <row r="129" customFormat="false" ht="15" hidden="false" customHeight="false" outlineLevel="0" collapsed="false">
      <c r="A129" s="15"/>
      <c r="B129" s="14"/>
      <c r="C129" s="14"/>
      <c r="D129" s="15"/>
      <c r="E129" s="15"/>
      <c r="F129" s="12" t="str">
        <f aca="false">IF($A129="","",IFERROR(INDEX(Team!$B$5:$B$64,MATCH($A129,Team!$A$5:$A$64,0)),"?"))</f>
        <v/>
      </c>
      <c r="G129" s="13" t="str">
        <f aca="false">IF($A129="","",COUNTIF($A$6:$A129,$A129)&amp;". Wunsch")</f>
        <v/>
      </c>
      <c r="H129" s="13" t="str">
        <f aca="false">IF(OR($A129="",$B129="",$C129="",$C129&lt;$B129),"",NETWORKDAYS($B129,$C129,Einstellungen!$N$7:$N$40))</f>
        <v/>
      </c>
      <c r="I129" s="12" t="str">
        <f aca="false">IF($A129="","",IF(OR($B129="",$C129=""),"Von und Bis eintragen",IF($C129&lt;$B129,"Bis liegt vor Von",IF(ISNA(MATCH($A129,Team!$A$5:$A$64,0)),"Name fehlt im Blatt Team",IF(COUNTIFS($A$6:$A$605,$A129,$B$6:$B$605,"&lt;="&amp;$C129,$C$6:$C$605,"&gt;="&amp;$B129)&gt;1,"Überschneidet sich mit eigenem Wunsch",IF(OR($B129&lt;Einstellungen!$B$3,$C129&gt;Einstellungen!$B$4),"Teils außerhalb des Planungsjahres","ok"))))))</f>
        <v/>
      </c>
      <c r="J129" s="14"/>
    </row>
    <row r="130" customFormat="false" ht="15" hidden="false" customHeight="false" outlineLevel="0" collapsed="false">
      <c r="A130" s="15"/>
      <c r="B130" s="14"/>
      <c r="C130" s="14"/>
      <c r="D130" s="15"/>
      <c r="E130" s="15"/>
      <c r="F130" s="12" t="str">
        <f aca="false">IF($A130="","",IFERROR(INDEX(Team!$B$5:$B$64,MATCH($A130,Team!$A$5:$A$64,0)),"?"))</f>
        <v/>
      </c>
      <c r="G130" s="13" t="str">
        <f aca="false">IF($A130="","",COUNTIF($A$6:$A130,$A130)&amp;". Wunsch")</f>
        <v/>
      </c>
      <c r="H130" s="13" t="str">
        <f aca="false">IF(OR($A130="",$B130="",$C130="",$C130&lt;$B130),"",NETWORKDAYS($B130,$C130,Einstellungen!$N$7:$N$40))</f>
        <v/>
      </c>
      <c r="I130" s="12" t="str">
        <f aca="false">IF($A130="","",IF(OR($B130="",$C130=""),"Von und Bis eintragen",IF($C130&lt;$B130,"Bis liegt vor Von",IF(ISNA(MATCH($A130,Team!$A$5:$A$64,0)),"Name fehlt im Blatt Team",IF(COUNTIFS($A$6:$A$605,$A130,$B$6:$B$605,"&lt;="&amp;$C130,$C$6:$C$605,"&gt;="&amp;$B130)&gt;1,"Überschneidet sich mit eigenem Wunsch",IF(OR($B130&lt;Einstellungen!$B$3,$C130&gt;Einstellungen!$B$4),"Teils außerhalb des Planungsjahres","ok"))))))</f>
        <v/>
      </c>
      <c r="J130" s="14"/>
    </row>
    <row r="131" customFormat="false" ht="15" hidden="false" customHeight="false" outlineLevel="0" collapsed="false">
      <c r="A131" s="15"/>
      <c r="B131" s="14"/>
      <c r="C131" s="14"/>
      <c r="D131" s="15"/>
      <c r="E131" s="15"/>
      <c r="F131" s="12" t="str">
        <f aca="false">IF($A131="","",IFERROR(INDEX(Team!$B$5:$B$64,MATCH($A131,Team!$A$5:$A$64,0)),"?"))</f>
        <v/>
      </c>
      <c r="G131" s="13" t="str">
        <f aca="false">IF($A131="","",COUNTIF($A$6:$A131,$A131)&amp;". Wunsch")</f>
        <v/>
      </c>
      <c r="H131" s="13" t="str">
        <f aca="false">IF(OR($A131="",$B131="",$C131="",$C131&lt;$B131),"",NETWORKDAYS($B131,$C131,Einstellungen!$N$7:$N$40))</f>
        <v/>
      </c>
      <c r="I131" s="12" t="str">
        <f aca="false">IF($A131="","",IF(OR($B131="",$C131=""),"Von und Bis eintragen",IF($C131&lt;$B131,"Bis liegt vor Von",IF(ISNA(MATCH($A131,Team!$A$5:$A$64,0)),"Name fehlt im Blatt Team",IF(COUNTIFS($A$6:$A$605,$A131,$B$6:$B$605,"&lt;="&amp;$C131,$C$6:$C$605,"&gt;="&amp;$B131)&gt;1,"Überschneidet sich mit eigenem Wunsch",IF(OR($B131&lt;Einstellungen!$B$3,$C131&gt;Einstellungen!$B$4),"Teils außerhalb des Planungsjahres","ok"))))))</f>
        <v/>
      </c>
      <c r="J131" s="14"/>
    </row>
    <row r="132" customFormat="false" ht="15" hidden="false" customHeight="false" outlineLevel="0" collapsed="false">
      <c r="A132" s="15"/>
      <c r="B132" s="14"/>
      <c r="C132" s="14"/>
      <c r="D132" s="15"/>
      <c r="E132" s="15"/>
      <c r="F132" s="12" t="str">
        <f aca="false">IF($A132="","",IFERROR(INDEX(Team!$B$5:$B$64,MATCH($A132,Team!$A$5:$A$64,0)),"?"))</f>
        <v/>
      </c>
      <c r="G132" s="13" t="str">
        <f aca="false">IF($A132="","",COUNTIF($A$6:$A132,$A132)&amp;". Wunsch")</f>
        <v/>
      </c>
      <c r="H132" s="13" t="str">
        <f aca="false">IF(OR($A132="",$B132="",$C132="",$C132&lt;$B132),"",NETWORKDAYS($B132,$C132,Einstellungen!$N$7:$N$40))</f>
        <v/>
      </c>
      <c r="I132" s="12" t="str">
        <f aca="false">IF($A132="","",IF(OR($B132="",$C132=""),"Von und Bis eintragen",IF($C132&lt;$B132,"Bis liegt vor Von",IF(ISNA(MATCH($A132,Team!$A$5:$A$64,0)),"Name fehlt im Blatt Team",IF(COUNTIFS($A$6:$A$605,$A132,$B$6:$B$605,"&lt;="&amp;$C132,$C$6:$C$605,"&gt;="&amp;$B132)&gt;1,"Überschneidet sich mit eigenem Wunsch",IF(OR($B132&lt;Einstellungen!$B$3,$C132&gt;Einstellungen!$B$4),"Teils außerhalb des Planungsjahres","ok"))))))</f>
        <v/>
      </c>
      <c r="J132" s="14"/>
    </row>
    <row r="133" customFormat="false" ht="15" hidden="false" customHeight="false" outlineLevel="0" collapsed="false">
      <c r="A133" s="15"/>
      <c r="B133" s="14"/>
      <c r="C133" s="14"/>
      <c r="D133" s="15"/>
      <c r="E133" s="15"/>
      <c r="F133" s="12" t="str">
        <f aca="false">IF($A133="","",IFERROR(INDEX(Team!$B$5:$B$64,MATCH($A133,Team!$A$5:$A$64,0)),"?"))</f>
        <v/>
      </c>
      <c r="G133" s="13" t="str">
        <f aca="false">IF($A133="","",COUNTIF($A$6:$A133,$A133)&amp;". Wunsch")</f>
        <v/>
      </c>
      <c r="H133" s="13" t="str">
        <f aca="false">IF(OR($A133="",$B133="",$C133="",$C133&lt;$B133),"",NETWORKDAYS($B133,$C133,Einstellungen!$N$7:$N$40))</f>
        <v/>
      </c>
      <c r="I133" s="12" t="str">
        <f aca="false">IF($A133="","",IF(OR($B133="",$C133=""),"Von und Bis eintragen",IF($C133&lt;$B133,"Bis liegt vor Von",IF(ISNA(MATCH($A133,Team!$A$5:$A$64,0)),"Name fehlt im Blatt Team",IF(COUNTIFS($A$6:$A$605,$A133,$B$6:$B$605,"&lt;="&amp;$C133,$C$6:$C$605,"&gt;="&amp;$B133)&gt;1,"Überschneidet sich mit eigenem Wunsch",IF(OR($B133&lt;Einstellungen!$B$3,$C133&gt;Einstellungen!$B$4),"Teils außerhalb des Planungsjahres","ok"))))))</f>
        <v/>
      </c>
      <c r="J133" s="14"/>
    </row>
    <row r="134" customFormat="false" ht="15" hidden="false" customHeight="false" outlineLevel="0" collapsed="false">
      <c r="A134" s="15"/>
      <c r="B134" s="14"/>
      <c r="C134" s="14"/>
      <c r="D134" s="15"/>
      <c r="E134" s="15"/>
      <c r="F134" s="12" t="str">
        <f aca="false">IF($A134="","",IFERROR(INDEX(Team!$B$5:$B$64,MATCH($A134,Team!$A$5:$A$64,0)),"?"))</f>
        <v/>
      </c>
      <c r="G134" s="13" t="str">
        <f aca="false">IF($A134="","",COUNTIF($A$6:$A134,$A134)&amp;". Wunsch")</f>
        <v/>
      </c>
      <c r="H134" s="13" t="str">
        <f aca="false">IF(OR($A134="",$B134="",$C134="",$C134&lt;$B134),"",NETWORKDAYS($B134,$C134,Einstellungen!$N$7:$N$40))</f>
        <v/>
      </c>
      <c r="I134" s="12" t="str">
        <f aca="false">IF($A134="","",IF(OR($B134="",$C134=""),"Von und Bis eintragen",IF($C134&lt;$B134,"Bis liegt vor Von",IF(ISNA(MATCH($A134,Team!$A$5:$A$64,0)),"Name fehlt im Blatt Team",IF(COUNTIFS($A$6:$A$605,$A134,$B$6:$B$605,"&lt;="&amp;$C134,$C$6:$C$605,"&gt;="&amp;$B134)&gt;1,"Überschneidet sich mit eigenem Wunsch",IF(OR($B134&lt;Einstellungen!$B$3,$C134&gt;Einstellungen!$B$4),"Teils außerhalb des Planungsjahres","ok"))))))</f>
        <v/>
      </c>
      <c r="J134" s="14"/>
    </row>
    <row r="135" customFormat="false" ht="15" hidden="false" customHeight="false" outlineLevel="0" collapsed="false">
      <c r="A135" s="15"/>
      <c r="B135" s="14"/>
      <c r="C135" s="14"/>
      <c r="D135" s="15"/>
      <c r="E135" s="15"/>
      <c r="F135" s="12" t="str">
        <f aca="false">IF($A135="","",IFERROR(INDEX(Team!$B$5:$B$64,MATCH($A135,Team!$A$5:$A$64,0)),"?"))</f>
        <v/>
      </c>
      <c r="G135" s="13" t="str">
        <f aca="false">IF($A135="","",COUNTIF($A$6:$A135,$A135)&amp;". Wunsch")</f>
        <v/>
      </c>
      <c r="H135" s="13" t="str">
        <f aca="false">IF(OR($A135="",$B135="",$C135="",$C135&lt;$B135),"",NETWORKDAYS($B135,$C135,Einstellungen!$N$7:$N$40))</f>
        <v/>
      </c>
      <c r="I135" s="12" t="str">
        <f aca="false">IF($A135="","",IF(OR($B135="",$C135=""),"Von und Bis eintragen",IF($C135&lt;$B135,"Bis liegt vor Von",IF(ISNA(MATCH($A135,Team!$A$5:$A$64,0)),"Name fehlt im Blatt Team",IF(COUNTIFS($A$6:$A$605,$A135,$B$6:$B$605,"&lt;="&amp;$C135,$C$6:$C$605,"&gt;="&amp;$B135)&gt;1,"Überschneidet sich mit eigenem Wunsch",IF(OR($B135&lt;Einstellungen!$B$3,$C135&gt;Einstellungen!$B$4),"Teils außerhalb des Planungsjahres","ok"))))))</f>
        <v/>
      </c>
      <c r="J135" s="14"/>
    </row>
    <row r="136" customFormat="false" ht="15" hidden="false" customHeight="false" outlineLevel="0" collapsed="false">
      <c r="A136" s="15"/>
      <c r="B136" s="14"/>
      <c r="C136" s="14"/>
      <c r="D136" s="15"/>
      <c r="E136" s="15"/>
      <c r="F136" s="12" t="str">
        <f aca="false">IF($A136="","",IFERROR(INDEX(Team!$B$5:$B$64,MATCH($A136,Team!$A$5:$A$64,0)),"?"))</f>
        <v/>
      </c>
      <c r="G136" s="13" t="str">
        <f aca="false">IF($A136="","",COUNTIF($A$6:$A136,$A136)&amp;". Wunsch")</f>
        <v/>
      </c>
      <c r="H136" s="13" t="str">
        <f aca="false">IF(OR($A136="",$B136="",$C136="",$C136&lt;$B136),"",NETWORKDAYS($B136,$C136,Einstellungen!$N$7:$N$40))</f>
        <v/>
      </c>
      <c r="I136" s="12" t="str">
        <f aca="false">IF($A136="","",IF(OR($B136="",$C136=""),"Von und Bis eintragen",IF($C136&lt;$B136,"Bis liegt vor Von",IF(ISNA(MATCH($A136,Team!$A$5:$A$64,0)),"Name fehlt im Blatt Team",IF(COUNTIFS($A$6:$A$605,$A136,$B$6:$B$605,"&lt;="&amp;$C136,$C$6:$C$605,"&gt;="&amp;$B136)&gt;1,"Überschneidet sich mit eigenem Wunsch",IF(OR($B136&lt;Einstellungen!$B$3,$C136&gt;Einstellungen!$B$4),"Teils außerhalb des Planungsjahres","ok"))))))</f>
        <v/>
      </c>
      <c r="J136" s="14"/>
    </row>
    <row r="137" customFormat="false" ht="15" hidden="false" customHeight="false" outlineLevel="0" collapsed="false">
      <c r="A137" s="15"/>
      <c r="B137" s="14"/>
      <c r="C137" s="14"/>
      <c r="D137" s="15"/>
      <c r="E137" s="15"/>
      <c r="F137" s="12" t="str">
        <f aca="false">IF($A137="","",IFERROR(INDEX(Team!$B$5:$B$64,MATCH($A137,Team!$A$5:$A$64,0)),"?"))</f>
        <v/>
      </c>
      <c r="G137" s="13" t="str">
        <f aca="false">IF($A137="","",COUNTIF($A$6:$A137,$A137)&amp;". Wunsch")</f>
        <v/>
      </c>
      <c r="H137" s="13" t="str">
        <f aca="false">IF(OR($A137="",$B137="",$C137="",$C137&lt;$B137),"",NETWORKDAYS($B137,$C137,Einstellungen!$N$7:$N$40))</f>
        <v/>
      </c>
      <c r="I137" s="12" t="str">
        <f aca="false">IF($A137="","",IF(OR($B137="",$C137=""),"Von und Bis eintragen",IF($C137&lt;$B137,"Bis liegt vor Von",IF(ISNA(MATCH($A137,Team!$A$5:$A$64,0)),"Name fehlt im Blatt Team",IF(COUNTIFS($A$6:$A$605,$A137,$B$6:$B$605,"&lt;="&amp;$C137,$C$6:$C$605,"&gt;="&amp;$B137)&gt;1,"Überschneidet sich mit eigenem Wunsch",IF(OR($B137&lt;Einstellungen!$B$3,$C137&gt;Einstellungen!$B$4),"Teils außerhalb des Planungsjahres","ok"))))))</f>
        <v/>
      </c>
      <c r="J137" s="14"/>
    </row>
    <row r="138" customFormat="false" ht="15" hidden="false" customHeight="false" outlineLevel="0" collapsed="false">
      <c r="A138" s="15"/>
      <c r="B138" s="14"/>
      <c r="C138" s="14"/>
      <c r="D138" s="15"/>
      <c r="E138" s="15"/>
      <c r="F138" s="12" t="str">
        <f aca="false">IF($A138="","",IFERROR(INDEX(Team!$B$5:$B$64,MATCH($A138,Team!$A$5:$A$64,0)),"?"))</f>
        <v/>
      </c>
      <c r="G138" s="13" t="str">
        <f aca="false">IF($A138="","",COUNTIF($A$6:$A138,$A138)&amp;". Wunsch")</f>
        <v/>
      </c>
      <c r="H138" s="13" t="str">
        <f aca="false">IF(OR($A138="",$B138="",$C138="",$C138&lt;$B138),"",NETWORKDAYS($B138,$C138,Einstellungen!$N$7:$N$40))</f>
        <v/>
      </c>
      <c r="I138" s="12" t="str">
        <f aca="false">IF($A138="","",IF(OR($B138="",$C138=""),"Von und Bis eintragen",IF($C138&lt;$B138,"Bis liegt vor Von",IF(ISNA(MATCH($A138,Team!$A$5:$A$64,0)),"Name fehlt im Blatt Team",IF(COUNTIFS($A$6:$A$605,$A138,$B$6:$B$605,"&lt;="&amp;$C138,$C$6:$C$605,"&gt;="&amp;$B138)&gt;1,"Überschneidet sich mit eigenem Wunsch",IF(OR($B138&lt;Einstellungen!$B$3,$C138&gt;Einstellungen!$B$4),"Teils außerhalb des Planungsjahres","ok"))))))</f>
        <v/>
      </c>
      <c r="J138" s="14"/>
    </row>
    <row r="139" customFormat="false" ht="15" hidden="false" customHeight="false" outlineLevel="0" collapsed="false">
      <c r="A139" s="15"/>
      <c r="B139" s="14"/>
      <c r="C139" s="14"/>
      <c r="D139" s="15"/>
      <c r="E139" s="15"/>
      <c r="F139" s="12" t="str">
        <f aca="false">IF($A139="","",IFERROR(INDEX(Team!$B$5:$B$64,MATCH($A139,Team!$A$5:$A$64,0)),"?"))</f>
        <v/>
      </c>
      <c r="G139" s="13" t="str">
        <f aca="false">IF($A139="","",COUNTIF($A$6:$A139,$A139)&amp;". Wunsch")</f>
        <v/>
      </c>
      <c r="H139" s="13" t="str">
        <f aca="false">IF(OR($A139="",$B139="",$C139="",$C139&lt;$B139),"",NETWORKDAYS($B139,$C139,Einstellungen!$N$7:$N$40))</f>
        <v/>
      </c>
      <c r="I139" s="12" t="str">
        <f aca="false">IF($A139="","",IF(OR($B139="",$C139=""),"Von und Bis eintragen",IF($C139&lt;$B139,"Bis liegt vor Von",IF(ISNA(MATCH($A139,Team!$A$5:$A$64,0)),"Name fehlt im Blatt Team",IF(COUNTIFS($A$6:$A$605,$A139,$B$6:$B$605,"&lt;="&amp;$C139,$C$6:$C$605,"&gt;="&amp;$B139)&gt;1,"Überschneidet sich mit eigenem Wunsch",IF(OR($B139&lt;Einstellungen!$B$3,$C139&gt;Einstellungen!$B$4),"Teils außerhalb des Planungsjahres","ok"))))))</f>
        <v/>
      </c>
      <c r="J139" s="14"/>
    </row>
    <row r="140" customFormat="false" ht="15" hidden="false" customHeight="false" outlineLevel="0" collapsed="false">
      <c r="A140" s="15"/>
      <c r="B140" s="14"/>
      <c r="C140" s="14"/>
      <c r="D140" s="15"/>
      <c r="E140" s="15"/>
      <c r="F140" s="12" t="str">
        <f aca="false">IF($A140="","",IFERROR(INDEX(Team!$B$5:$B$64,MATCH($A140,Team!$A$5:$A$64,0)),"?"))</f>
        <v/>
      </c>
      <c r="G140" s="13" t="str">
        <f aca="false">IF($A140="","",COUNTIF($A$6:$A140,$A140)&amp;". Wunsch")</f>
        <v/>
      </c>
      <c r="H140" s="13" t="str">
        <f aca="false">IF(OR($A140="",$B140="",$C140="",$C140&lt;$B140),"",NETWORKDAYS($B140,$C140,Einstellungen!$N$7:$N$40))</f>
        <v/>
      </c>
      <c r="I140" s="12" t="str">
        <f aca="false">IF($A140="","",IF(OR($B140="",$C140=""),"Von und Bis eintragen",IF($C140&lt;$B140,"Bis liegt vor Von",IF(ISNA(MATCH($A140,Team!$A$5:$A$64,0)),"Name fehlt im Blatt Team",IF(COUNTIFS($A$6:$A$605,$A140,$B$6:$B$605,"&lt;="&amp;$C140,$C$6:$C$605,"&gt;="&amp;$B140)&gt;1,"Überschneidet sich mit eigenem Wunsch",IF(OR($B140&lt;Einstellungen!$B$3,$C140&gt;Einstellungen!$B$4),"Teils außerhalb des Planungsjahres","ok"))))))</f>
        <v/>
      </c>
      <c r="J140" s="14"/>
    </row>
    <row r="141" customFormat="false" ht="15" hidden="false" customHeight="false" outlineLevel="0" collapsed="false">
      <c r="A141" s="15"/>
      <c r="B141" s="14"/>
      <c r="C141" s="14"/>
      <c r="D141" s="15"/>
      <c r="E141" s="15"/>
      <c r="F141" s="12" t="str">
        <f aca="false">IF($A141="","",IFERROR(INDEX(Team!$B$5:$B$64,MATCH($A141,Team!$A$5:$A$64,0)),"?"))</f>
        <v/>
      </c>
      <c r="G141" s="13" t="str">
        <f aca="false">IF($A141="","",COUNTIF($A$6:$A141,$A141)&amp;". Wunsch")</f>
        <v/>
      </c>
      <c r="H141" s="13" t="str">
        <f aca="false">IF(OR($A141="",$B141="",$C141="",$C141&lt;$B141),"",NETWORKDAYS($B141,$C141,Einstellungen!$N$7:$N$40))</f>
        <v/>
      </c>
      <c r="I141" s="12" t="str">
        <f aca="false">IF($A141="","",IF(OR($B141="",$C141=""),"Von und Bis eintragen",IF($C141&lt;$B141,"Bis liegt vor Von",IF(ISNA(MATCH($A141,Team!$A$5:$A$64,0)),"Name fehlt im Blatt Team",IF(COUNTIFS($A$6:$A$605,$A141,$B$6:$B$605,"&lt;="&amp;$C141,$C$6:$C$605,"&gt;="&amp;$B141)&gt;1,"Überschneidet sich mit eigenem Wunsch",IF(OR($B141&lt;Einstellungen!$B$3,$C141&gt;Einstellungen!$B$4),"Teils außerhalb des Planungsjahres","ok"))))))</f>
        <v/>
      </c>
      <c r="J141" s="14"/>
    </row>
    <row r="142" customFormat="false" ht="15" hidden="false" customHeight="false" outlineLevel="0" collapsed="false">
      <c r="A142" s="15"/>
      <c r="B142" s="14"/>
      <c r="C142" s="14"/>
      <c r="D142" s="15"/>
      <c r="E142" s="15"/>
      <c r="F142" s="12" t="str">
        <f aca="false">IF($A142="","",IFERROR(INDEX(Team!$B$5:$B$64,MATCH($A142,Team!$A$5:$A$64,0)),"?"))</f>
        <v/>
      </c>
      <c r="G142" s="13" t="str">
        <f aca="false">IF($A142="","",COUNTIF($A$6:$A142,$A142)&amp;". Wunsch")</f>
        <v/>
      </c>
      <c r="H142" s="13" t="str">
        <f aca="false">IF(OR($A142="",$B142="",$C142="",$C142&lt;$B142),"",NETWORKDAYS($B142,$C142,Einstellungen!$N$7:$N$40))</f>
        <v/>
      </c>
      <c r="I142" s="12" t="str">
        <f aca="false">IF($A142="","",IF(OR($B142="",$C142=""),"Von und Bis eintragen",IF($C142&lt;$B142,"Bis liegt vor Von",IF(ISNA(MATCH($A142,Team!$A$5:$A$64,0)),"Name fehlt im Blatt Team",IF(COUNTIFS($A$6:$A$605,$A142,$B$6:$B$605,"&lt;="&amp;$C142,$C$6:$C$605,"&gt;="&amp;$B142)&gt;1,"Überschneidet sich mit eigenem Wunsch",IF(OR($B142&lt;Einstellungen!$B$3,$C142&gt;Einstellungen!$B$4),"Teils außerhalb des Planungsjahres","ok"))))))</f>
        <v/>
      </c>
      <c r="J142" s="14"/>
    </row>
    <row r="143" customFormat="false" ht="15" hidden="false" customHeight="false" outlineLevel="0" collapsed="false">
      <c r="A143" s="15"/>
      <c r="B143" s="14"/>
      <c r="C143" s="14"/>
      <c r="D143" s="15"/>
      <c r="E143" s="15"/>
      <c r="F143" s="12" t="str">
        <f aca="false">IF($A143="","",IFERROR(INDEX(Team!$B$5:$B$64,MATCH($A143,Team!$A$5:$A$64,0)),"?"))</f>
        <v/>
      </c>
      <c r="G143" s="13" t="str">
        <f aca="false">IF($A143="","",COUNTIF($A$6:$A143,$A143)&amp;". Wunsch")</f>
        <v/>
      </c>
      <c r="H143" s="13" t="str">
        <f aca="false">IF(OR($A143="",$B143="",$C143="",$C143&lt;$B143),"",NETWORKDAYS($B143,$C143,Einstellungen!$N$7:$N$40))</f>
        <v/>
      </c>
      <c r="I143" s="12" t="str">
        <f aca="false">IF($A143="","",IF(OR($B143="",$C143=""),"Von und Bis eintragen",IF($C143&lt;$B143,"Bis liegt vor Von",IF(ISNA(MATCH($A143,Team!$A$5:$A$64,0)),"Name fehlt im Blatt Team",IF(COUNTIFS($A$6:$A$605,$A143,$B$6:$B$605,"&lt;="&amp;$C143,$C$6:$C$605,"&gt;="&amp;$B143)&gt;1,"Überschneidet sich mit eigenem Wunsch",IF(OR($B143&lt;Einstellungen!$B$3,$C143&gt;Einstellungen!$B$4),"Teils außerhalb des Planungsjahres","ok"))))))</f>
        <v/>
      </c>
      <c r="J143" s="14"/>
    </row>
    <row r="144" customFormat="false" ht="15" hidden="false" customHeight="false" outlineLevel="0" collapsed="false">
      <c r="A144" s="15"/>
      <c r="B144" s="14"/>
      <c r="C144" s="14"/>
      <c r="D144" s="15"/>
      <c r="E144" s="15"/>
      <c r="F144" s="12" t="str">
        <f aca="false">IF($A144="","",IFERROR(INDEX(Team!$B$5:$B$64,MATCH($A144,Team!$A$5:$A$64,0)),"?"))</f>
        <v/>
      </c>
      <c r="G144" s="13" t="str">
        <f aca="false">IF($A144="","",COUNTIF($A$6:$A144,$A144)&amp;". Wunsch")</f>
        <v/>
      </c>
      <c r="H144" s="13" t="str">
        <f aca="false">IF(OR($A144="",$B144="",$C144="",$C144&lt;$B144),"",NETWORKDAYS($B144,$C144,Einstellungen!$N$7:$N$40))</f>
        <v/>
      </c>
      <c r="I144" s="12" t="str">
        <f aca="false">IF($A144="","",IF(OR($B144="",$C144=""),"Von und Bis eintragen",IF($C144&lt;$B144,"Bis liegt vor Von",IF(ISNA(MATCH($A144,Team!$A$5:$A$64,0)),"Name fehlt im Blatt Team",IF(COUNTIFS($A$6:$A$605,$A144,$B$6:$B$605,"&lt;="&amp;$C144,$C$6:$C$605,"&gt;="&amp;$B144)&gt;1,"Überschneidet sich mit eigenem Wunsch",IF(OR($B144&lt;Einstellungen!$B$3,$C144&gt;Einstellungen!$B$4),"Teils außerhalb des Planungsjahres","ok"))))))</f>
        <v/>
      </c>
      <c r="J144" s="14"/>
    </row>
    <row r="145" customFormat="false" ht="15" hidden="false" customHeight="false" outlineLevel="0" collapsed="false">
      <c r="A145" s="15"/>
      <c r="B145" s="14"/>
      <c r="C145" s="14"/>
      <c r="D145" s="15"/>
      <c r="E145" s="15"/>
      <c r="F145" s="12" t="str">
        <f aca="false">IF($A145="","",IFERROR(INDEX(Team!$B$5:$B$64,MATCH($A145,Team!$A$5:$A$64,0)),"?"))</f>
        <v/>
      </c>
      <c r="G145" s="13" t="str">
        <f aca="false">IF($A145="","",COUNTIF($A$6:$A145,$A145)&amp;". Wunsch")</f>
        <v/>
      </c>
      <c r="H145" s="13" t="str">
        <f aca="false">IF(OR($A145="",$B145="",$C145="",$C145&lt;$B145),"",NETWORKDAYS($B145,$C145,Einstellungen!$N$7:$N$40))</f>
        <v/>
      </c>
      <c r="I145" s="12" t="str">
        <f aca="false">IF($A145="","",IF(OR($B145="",$C145=""),"Von und Bis eintragen",IF($C145&lt;$B145,"Bis liegt vor Von",IF(ISNA(MATCH($A145,Team!$A$5:$A$64,0)),"Name fehlt im Blatt Team",IF(COUNTIFS($A$6:$A$605,$A145,$B$6:$B$605,"&lt;="&amp;$C145,$C$6:$C$605,"&gt;="&amp;$B145)&gt;1,"Überschneidet sich mit eigenem Wunsch",IF(OR($B145&lt;Einstellungen!$B$3,$C145&gt;Einstellungen!$B$4),"Teils außerhalb des Planungsjahres","ok"))))))</f>
        <v/>
      </c>
      <c r="J145" s="14"/>
    </row>
    <row r="146" customFormat="false" ht="15" hidden="false" customHeight="false" outlineLevel="0" collapsed="false">
      <c r="A146" s="15"/>
      <c r="B146" s="14"/>
      <c r="C146" s="14"/>
      <c r="D146" s="15"/>
      <c r="E146" s="15"/>
      <c r="F146" s="12" t="str">
        <f aca="false">IF($A146="","",IFERROR(INDEX(Team!$B$5:$B$64,MATCH($A146,Team!$A$5:$A$64,0)),"?"))</f>
        <v/>
      </c>
      <c r="G146" s="13" t="str">
        <f aca="false">IF($A146="","",COUNTIF($A$6:$A146,$A146)&amp;". Wunsch")</f>
        <v/>
      </c>
      <c r="H146" s="13" t="str">
        <f aca="false">IF(OR($A146="",$B146="",$C146="",$C146&lt;$B146),"",NETWORKDAYS($B146,$C146,Einstellungen!$N$7:$N$40))</f>
        <v/>
      </c>
      <c r="I146" s="12" t="str">
        <f aca="false">IF($A146="","",IF(OR($B146="",$C146=""),"Von und Bis eintragen",IF($C146&lt;$B146,"Bis liegt vor Von",IF(ISNA(MATCH($A146,Team!$A$5:$A$64,0)),"Name fehlt im Blatt Team",IF(COUNTIFS($A$6:$A$605,$A146,$B$6:$B$605,"&lt;="&amp;$C146,$C$6:$C$605,"&gt;="&amp;$B146)&gt;1,"Überschneidet sich mit eigenem Wunsch",IF(OR($B146&lt;Einstellungen!$B$3,$C146&gt;Einstellungen!$B$4),"Teils außerhalb des Planungsjahres","ok"))))))</f>
        <v/>
      </c>
      <c r="J146" s="14"/>
    </row>
    <row r="147" customFormat="false" ht="15" hidden="false" customHeight="false" outlineLevel="0" collapsed="false">
      <c r="A147" s="15"/>
      <c r="B147" s="14"/>
      <c r="C147" s="14"/>
      <c r="D147" s="15"/>
      <c r="E147" s="15"/>
      <c r="F147" s="12" t="str">
        <f aca="false">IF($A147="","",IFERROR(INDEX(Team!$B$5:$B$64,MATCH($A147,Team!$A$5:$A$64,0)),"?"))</f>
        <v/>
      </c>
      <c r="G147" s="13" t="str">
        <f aca="false">IF($A147="","",COUNTIF($A$6:$A147,$A147)&amp;". Wunsch")</f>
        <v/>
      </c>
      <c r="H147" s="13" t="str">
        <f aca="false">IF(OR($A147="",$B147="",$C147="",$C147&lt;$B147),"",NETWORKDAYS($B147,$C147,Einstellungen!$N$7:$N$40))</f>
        <v/>
      </c>
      <c r="I147" s="12" t="str">
        <f aca="false">IF($A147="","",IF(OR($B147="",$C147=""),"Von und Bis eintragen",IF($C147&lt;$B147,"Bis liegt vor Von",IF(ISNA(MATCH($A147,Team!$A$5:$A$64,0)),"Name fehlt im Blatt Team",IF(COUNTIFS($A$6:$A$605,$A147,$B$6:$B$605,"&lt;="&amp;$C147,$C$6:$C$605,"&gt;="&amp;$B147)&gt;1,"Überschneidet sich mit eigenem Wunsch",IF(OR($B147&lt;Einstellungen!$B$3,$C147&gt;Einstellungen!$B$4),"Teils außerhalb des Planungsjahres","ok"))))))</f>
        <v/>
      </c>
      <c r="J147" s="14"/>
    </row>
    <row r="148" customFormat="false" ht="15" hidden="false" customHeight="false" outlineLevel="0" collapsed="false">
      <c r="A148" s="15"/>
      <c r="B148" s="14"/>
      <c r="C148" s="14"/>
      <c r="D148" s="15"/>
      <c r="E148" s="15"/>
      <c r="F148" s="12" t="str">
        <f aca="false">IF($A148="","",IFERROR(INDEX(Team!$B$5:$B$64,MATCH($A148,Team!$A$5:$A$64,0)),"?"))</f>
        <v/>
      </c>
      <c r="G148" s="13" t="str">
        <f aca="false">IF($A148="","",COUNTIF($A$6:$A148,$A148)&amp;". Wunsch")</f>
        <v/>
      </c>
      <c r="H148" s="13" t="str">
        <f aca="false">IF(OR($A148="",$B148="",$C148="",$C148&lt;$B148),"",NETWORKDAYS($B148,$C148,Einstellungen!$N$7:$N$40))</f>
        <v/>
      </c>
      <c r="I148" s="12" t="str">
        <f aca="false">IF($A148="","",IF(OR($B148="",$C148=""),"Von und Bis eintragen",IF($C148&lt;$B148,"Bis liegt vor Von",IF(ISNA(MATCH($A148,Team!$A$5:$A$64,0)),"Name fehlt im Blatt Team",IF(COUNTIFS($A$6:$A$605,$A148,$B$6:$B$605,"&lt;="&amp;$C148,$C$6:$C$605,"&gt;="&amp;$B148)&gt;1,"Überschneidet sich mit eigenem Wunsch",IF(OR($B148&lt;Einstellungen!$B$3,$C148&gt;Einstellungen!$B$4),"Teils außerhalb des Planungsjahres","ok"))))))</f>
        <v/>
      </c>
      <c r="J148" s="14"/>
    </row>
    <row r="149" customFormat="false" ht="15" hidden="false" customHeight="false" outlineLevel="0" collapsed="false">
      <c r="A149" s="15"/>
      <c r="B149" s="14"/>
      <c r="C149" s="14"/>
      <c r="D149" s="15"/>
      <c r="E149" s="15"/>
      <c r="F149" s="12" t="str">
        <f aca="false">IF($A149="","",IFERROR(INDEX(Team!$B$5:$B$64,MATCH($A149,Team!$A$5:$A$64,0)),"?"))</f>
        <v/>
      </c>
      <c r="G149" s="13" t="str">
        <f aca="false">IF($A149="","",COUNTIF($A$6:$A149,$A149)&amp;". Wunsch")</f>
        <v/>
      </c>
      <c r="H149" s="13" t="str">
        <f aca="false">IF(OR($A149="",$B149="",$C149="",$C149&lt;$B149),"",NETWORKDAYS($B149,$C149,Einstellungen!$N$7:$N$40))</f>
        <v/>
      </c>
      <c r="I149" s="12" t="str">
        <f aca="false">IF($A149="","",IF(OR($B149="",$C149=""),"Von und Bis eintragen",IF($C149&lt;$B149,"Bis liegt vor Von",IF(ISNA(MATCH($A149,Team!$A$5:$A$64,0)),"Name fehlt im Blatt Team",IF(COUNTIFS($A$6:$A$605,$A149,$B$6:$B$605,"&lt;="&amp;$C149,$C$6:$C$605,"&gt;="&amp;$B149)&gt;1,"Überschneidet sich mit eigenem Wunsch",IF(OR($B149&lt;Einstellungen!$B$3,$C149&gt;Einstellungen!$B$4),"Teils außerhalb des Planungsjahres","ok"))))))</f>
        <v/>
      </c>
      <c r="J149" s="14"/>
    </row>
    <row r="150" customFormat="false" ht="15" hidden="false" customHeight="false" outlineLevel="0" collapsed="false">
      <c r="A150" s="15"/>
      <c r="B150" s="14"/>
      <c r="C150" s="14"/>
      <c r="D150" s="15"/>
      <c r="E150" s="15"/>
      <c r="F150" s="12" t="str">
        <f aca="false">IF($A150="","",IFERROR(INDEX(Team!$B$5:$B$64,MATCH($A150,Team!$A$5:$A$64,0)),"?"))</f>
        <v/>
      </c>
      <c r="G150" s="13" t="str">
        <f aca="false">IF($A150="","",COUNTIF($A$6:$A150,$A150)&amp;". Wunsch")</f>
        <v/>
      </c>
      <c r="H150" s="13" t="str">
        <f aca="false">IF(OR($A150="",$B150="",$C150="",$C150&lt;$B150),"",NETWORKDAYS($B150,$C150,Einstellungen!$N$7:$N$40))</f>
        <v/>
      </c>
      <c r="I150" s="12" t="str">
        <f aca="false">IF($A150="","",IF(OR($B150="",$C150=""),"Von und Bis eintragen",IF($C150&lt;$B150,"Bis liegt vor Von",IF(ISNA(MATCH($A150,Team!$A$5:$A$64,0)),"Name fehlt im Blatt Team",IF(COUNTIFS($A$6:$A$605,$A150,$B$6:$B$605,"&lt;="&amp;$C150,$C$6:$C$605,"&gt;="&amp;$B150)&gt;1,"Überschneidet sich mit eigenem Wunsch",IF(OR($B150&lt;Einstellungen!$B$3,$C150&gt;Einstellungen!$B$4),"Teils außerhalb des Planungsjahres","ok"))))))</f>
        <v/>
      </c>
      <c r="J150" s="14"/>
    </row>
    <row r="151" customFormat="false" ht="15" hidden="false" customHeight="false" outlineLevel="0" collapsed="false">
      <c r="A151" s="15"/>
      <c r="B151" s="14"/>
      <c r="C151" s="14"/>
      <c r="D151" s="15"/>
      <c r="E151" s="15"/>
      <c r="F151" s="12" t="str">
        <f aca="false">IF($A151="","",IFERROR(INDEX(Team!$B$5:$B$64,MATCH($A151,Team!$A$5:$A$64,0)),"?"))</f>
        <v/>
      </c>
      <c r="G151" s="13" t="str">
        <f aca="false">IF($A151="","",COUNTIF($A$6:$A151,$A151)&amp;". Wunsch")</f>
        <v/>
      </c>
      <c r="H151" s="13" t="str">
        <f aca="false">IF(OR($A151="",$B151="",$C151="",$C151&lt;$B151),"",NETWORKDAYS($B151,$C151,Einstellungen!$N$7:$N$40))</f>
        <v/>
      </c>
      <c r="I151" s="12" t="str">
        <f aca="false">IF($A151="","",IF(OR($B151="",$C151=""),"Von und Bis eintragen",IF($C151&lt;$B151,"Bis liegt vor Von",IF(ISNA(MATCH($A151,Team!$A$5:$A$64,0)),"Name fehlt im Blatt Team",IF(COUNTIFS($A$6:$A$605,$A151,$B$6:$B$605,"&lt;="&amp;$C151,$C$6:$C$605,"&gt;="&amp;$B151)&gt;1,"Überschneidet sich mit eigenem Wunsch",IF(OR($B151&lt;Einstellungen!$B$3,$C151&gt;Einstellungen!$B$4),"Teils außerhalb des Planungsjahres","ok"))))))</f>
        <v/>
      </c>
      <c r="J151" s="14"/>
    </row>
    <row r="152" customFormat="false" ht="15" hidden="false" customHeight="false" outlineLevel="0" collapsed="false">
      <c r="A152" s="15"/>
      <c r="B152" s="14"/>
      <c r="C152" s="14"/>
      <c r="D152" s="15"/>
      <c r="E152" s="15"/>
      <c r="F152" s="12" t="str">
        <f aca="false">IF($A152="","",IFERROR(INDEX(Team!$B$5:$B$64,MATCH($A152,Team!$A$5:$A$64,0)),"?"))</f>
        <v/>
      </c>
      <c r="G152" s="13" t="str">
        <f aca="false">IF($A152="","",COUNTIF($A$6:$A152,$A152)&amp;". Wunsch")</f>
        <v/>
      </c>
      <c r="H152" s="13" t="str">
        <f aca="false">IF(OR($A152="",$B152="",$C152="",$C152&lt;$B152),"",NETWORKDAYS($B152,$C152,Einstellungen!$N$7:$N$40))</f>
        <v/>
      </c>
      <c r="I152" s="12" t="str">
        <f aca="false">IF($A152="","",IF(OR($B152="",$C152=""),"Von und Bis eintragen",IF($C152&lt;$B152,"Bis liegt vor Von",IF(ISNA(MATCH($A152,Team!$A$5:$A$64,0)),"Name fehlt im Blatt Team",IF(COUNTIFS($A$6:$A$605,$A152,$B$6:$B$605,"&lt;="&amp;$C152,$C$6:$C$605,"&gt;="&amp;$B152)&gt;1,"Überschneidet sich mit eigenem Wunsch",IF(OR($B152&lt;Einstellungen!$B$3,$C152&gt;Einstellungen!$B$4),"Teils außerhalb des Planungsjahres","ok"))))))</f>
        <v/>
      </c>
      <c r="J152" s="14"/>
    </row>
    <row r="153" customFormat="false" ht="15" hidden="false" customHeight="false" outlineLevel="0" collapsed="false">
      <c r="A153" s="15"/>
      <c r="B153" s="14"/>
      <c r="C153" s="14"/>
      <c r="D153" s="15"/>
      <c r="E153" s="15"/>
      <c r="F153" s="12" t="str">
        <f aca="false">IF($A153="","",IFERROR(INDEX(Team!$B$5:$B$64,MATCH($A153,Team!$A$5:$A$64,0)),"?"))</f>
        <v/>
      </c>
      <c r="G153" s="13" t="str">
        <f aca="false">IF($A153="","",COUNTIF($A$6:$A153,$A153)&amp;". Wunsch")</f>
        <v/>
      </c>
      <c r="H153" s="13" t="str">
        <f aca="false">IF(OR($A153="",$B153="",$C153="",$C153&lt;$B153),"",NETWORKDAYS($B153,$C153,Einstellungen!$N$7:$N$40))</f>
        <v/>
      </c>
      <c r="I153" s="12" t="str">
        <f aca="false">IF($A153="","",IF(OR($B153="",$C153=""),"Von und Bis eintragen",IF($C153&lt;$B153,"Bis liegt vor Von",IF(ISNA(MATCH($A153,Team!$A$5:$A$64,0)),"Name fehlt im Blatt Team",IF(COUNTIFS($A$6:$A$605,$A153,$B$6:$B$605,"&lt;="&amp;$C153,$C$6:$C$605,"&gt;="&amp;$B153)&gt;1,"Überschneidet sich mit eigenem Wunsch",IF(OR($B153&lt;Einstellungen!$B$3,$C153&gt;Einstellungen!$B$4),"Teils außerhalb des Planungsjahres","ok"))))))</f>
        <v/>
      </c>
      <c r="J153" s="14"/>
    </row>
    <row r="154" customFormat="false" ht="15" hidden="false" customHeight="false" outlineLevel="0" collapsed="false">
      <c r="A154" s="15"/>
      <c r="B154" s="14"/>
      <c r="C154" s="14"/>
      <c r="D154" s="15"/>
      <c r="E154" s="15"/>
      <c r="F154" s="12" t="str">
        <f aca="false">IF($A154="","",IFERROR(INDEX(Team!$B$5:$B$64,MATCH($A154,Team!$A$5:$A$64,0)),"?"))</f>
        <v/>
      </c>
      <c r="G154" s="13" t="str">
        <f aca="false">IF($A154="","",COUNTIF($A$6:$A154,$A154)&amp;". Wunsch")</f>
        <v/>
      </c>
      <c r="H154" s="13" t="str">
        <f aca="false">IF(OR($A154="",$B154="",$C154="",$C154&lt;$B154),"",NETWORKDAYS($B154,$C154,Einstellungen!$N$7:$N$40))</f>
        <v/>
      </c>
      <c r="I154" s="12" t="str">
        <f aca="false">IF($A154="","",IF(OR($B154="",$C154=""),"Von und Bis eintragen",IF($C154&lt;$B154,"Bis liegt vor Von",IF(ISNA(MATCH($A154,Team!$A$5:$A$64,0)),"Name fehlt im Blatt Team",IF(COUNTIFS($A$6:$A$605,$A154,$B$6:$B$605,"&lt;="&amp;$C154,$C$6:$C$605,"&gt;="&amp;$B154)&gt;1,"Überschneidet sich mit eigenem Wunsch",IF(OR($B154&lt;Einstellungen!$B$3,$C154&gt;Einstellungen!$B$4),"Teils außerhalb des Planungsjahres","ok"))))))</f>
        <v/>
      </c>
      <c r="J154" s="14"/>
    </row>
    <row r="155" customFormat="false" ht="15" hidden="false" customHeight="false" outlineLevel="0" collapsed="false">
      <c r="A155" s="15"/>
      <c r="B155" s="14"/>
      <c r="C155" s="14"/>
      <c r="D155" s="15"/>
      <c r="E155" s="15"/>
      <c r="F155" s="12" t="str">
        <f aca="false">IF($A155="","",IFERROR(INDEX(Team!$B$5:$B$64,MATCH($A155,Team!$A$5:$A$64,0)),"?"))</f>
        <v/>
      </c>
      <c r="G155" s="13" t="str">
        <f aca="false">IF($A155="","",COUNTIF($A$6:$A155,$A155)&amp;". Wunsch")</f>
        <v/>
      </c>
      <c r="H155" s="13" t="str">
        <f aca="false">IF(OR($A155="",$B155="",$C155="",$C155&lt;$B155),"",NETWORKDAYS($B155,$C155,Einstellungen!$N$7:$N$40))</f>
        <v/>
      </c>
      <c r="I155" s="12" t="str">
        <f aca="false">IF($A155="","",IF(OR($B155="",$C155=""),"Von und Bis eintragen",IF($C155&lt;$B155,"Bis liegt vor Von",IF(ISNA(MATCH($A155,Team!$A$5:$A$64,0)),"Name fehlt im Blatt Team",IF(COUNTIFS($A$6:$A$605,$A155,$B$6:$B$605,"&lt;="&amp;$C155,$C$6:$C$605,"&gt;="&amp;$B155)&gt;1,"Überschneidet sich mit eigenem Wunsch",IF(OR($B155&lt;Einstellungen!$B$3,$C155&gt;Einstellungen!$B$4),"Teils außerhalb des Planungsjahres","ok"))))))</f>
        <v/>
      </c>
      <c r="J155" s="14"/>
    </row>
    <row r="156" customFormat="false" ht="15" hidden="false" customHeight="false" outlineLevel="0" collapsed="false">
      <c r="A156" s="15"/>
      <c r="B156" s="14"/>
      <c r="C156" s="14"/>
      <c r="D156" s="15"/>
      <c r="E156" s="15"/>
      <c r="F156" s="12" t="str">
        <f aca="false">IF($A156="","",IFERROR(INDEX(Team!$B$5:$B$64,MATCH($A156,Team!$A$5:$A$64,0)),"?"))</f>
        <v/>
      </c>
      <c r="G156" s="13" t="str">
        <f aca="false">IF($A156="","",COUNTIF($A$6:$A156,$A156)&amp;". Wunsch")</f>
        <v/>
      </c>
      <c r="H156" s="13" t="str">
        <f aca="false">IF(OR($A156="",$B156="",$C156="",$C156&lt;$B156),"",NETWORKDAYS($B156,$C156,Einstellungen!$N$7:$N$40))</f>
        <v/>
      </c>
      <c r="I156" s="12" t="str">
        <f aca="false">IF($A156="","",IF(OR($B156="",$C156=""),"Von und Bis eintragen",IF($C156&lt;$B156,"Bis liegt vor Von",IF(ISNA(MATCH($A156,Team!$A$5:$A$64,0)),"Name fehlt im Blatt Team",IF(COUNTIFS($A$6:$A$605,$A156,$B$6:$B$605,"&lt;="&amp;$C156,$C$6:$C$605,"&gt;="&amp;$B156)&gt;1,"Überschneidet sich mit eigenem Wunsch",IF(OR($B156&lt;Einstellungen!$B$3,$C156&gt;Einstellungen!$B$4),"Teils außerhalb des Planungsjahres","ok"))))))</f>
        <v/>
      </c>
      <c r="J156" s="14"/>
    </row>
    <row r="157" customFormat="false" ht="15" hidden="false" customHeight="false" outlineLevel="0" collapsed="false">
      <c r="A157" s="15"/>
      <c r="B157" s="14"/>
      <c r="C157" s="14"/>
      <c r="D157" s="15"/>
      <c r="E157" s="15"/>
      <c r="F157" s="12" t="str">
        <f aca="false">IF($A157="","",IFERROR(INDEX(Team!$B$5:$B$64,MATCH($A157,Team!$A$5:$A$64,0)),"?"))</f>
        <v/>
      </c>
      <c r="G157" s="13" t="str">
        <f aca="false">IF($A157="","",COUNTIF($A$6:$A157,$A157)&amp;". Wunsch")</f>
        <v/>
      </c>
      <c r="H157" s="13" t="str">
        <f aca="false">IF(OR($A157="",$B157="",$C157="",$C157&lt;$B157),"",NETWORKDAYS($B157,$C157,Einstellungen!$N$7:$N$40))</f>
        <v/>
      </c>
      <c r="I157" s="12" t="str">
        <f aca="false">IF($A157="","",IF(OR($B157="",$C157=""),"Von und Bis eintragen",IF($C157&lt;$B157,"Bis liegt vor Von",IF(ISNA(MATCH($A157,Team!$A$5:$A$64,0)),"Name fehlt im Blatt Team",IF(COUNTIFS($A$6:$A$605,$A157,$B$6:$B$605,"&lt;="&amp;$C157,$C$6:$C$605,"&gt;="&amp;$B157)&gt;1,"Überschneidet sich mit eigenem Wunsch",IF(OR($B157&lt;Einstellungen!$B$3,$C157&gt;Einstellungen!$B$4),"Teils außerhalb des Planungsjahres","ok"))))))</f>
        <v/>
      </c>
      <c r="J157" s="14"/>
    </row>
    <row r="158" customFormat="false" ht="15" hidden="false" customHeight="false" outlineLevel="0" collapsed="false">
      <c r="A158" s="15"/>
      <c r="B158" s="14"/>
      <c r="C158" s="14"/>
      <c r="D158" s="15"/>
      <c r="E158" s="15"/>
      <c r="F158" s="12" t="str">
        <f aca="false">IF($A158="","",IFERROR(INDEX(Team!$B$5:$B$64,MATCH($A158,Team!$A$5:$A$64,0)),"?"))</f>
        <v/>
      </c>
      <c r="G158" s="13" t="str">
        <f aca="false">IF($A158="","",COUNTIF($A$6:$A158,$A158)&amp;". Wunsch")</f>
        <v/>
      </c>
      <c r="H158" s="13" t="str">
        <f aca="false">IF(OR($A158="",$B158="",$C158="",$C158&lt;$B158),"",NETWORKDAYS($B158,$C158,Einstellungen!$N$7:$N$40))</f>
        <v/>
      </c>
      <c r="I158" s="12" t="str">
        <f aca="false">IF($A158="","",IF(OR($B158="",$C158=""),"Von und Bis eintragen",IF($C158&lt;$B158,"Bis liegt vor Von",IF(ISNA(MATCH($A158,Team!$A$5:$A$64,0)),"Name fehlt im Blatt Team",IF(COUNTIFS($A$6:$A$605,$A158,$B$6:$B$605,"&lt;="&amp;$C158,$C$6:$C$605,"&gt;="&amp;$B158)&gt;1,"Überschneidet sich mit eigenem Wunsch",IF(OR($B158&lt;Einstellungen!$B$3,$C158&gt;Einstellungen!$B$4),"Teils außerhalb des Planungsjahres","ok"))))))</f>
        <v/>
      </c>
      <c r="J158" s="14"/>
    </row>
    <row r="159" customFormat="false" ht="15" hidden="false" customHeight="false" outlineLevel="0" collapsed="false">
      <c r="A159" s="15"/>
      <c r="B159" s="14"/>
      <c r="C159" s="14"/>
      <c r="D159" s="15"/>
      <c r="E159" s="15"/>
      <c r="F159" s="12" t="str">
        <f aca="false">IF($A159="","",IFERROR(INDEX(Team!$B$5:$B$64,MATCH($A159,Team!$A$5:$A$64,0)),"?"))</f>
        <v/>
      </c>
      <c r="G159" s="13" t="str">
        <f aca="false">IF($A159="","",COUNTIF($A$6:$A159,$A159)&amp;". Wunsch")</f>
        <v/>
      </c>
      <c r="H159" s="13" t="str">
        <f aca="false">IF(OR($A159="",$B159="",$C159="",$C159&lt;$B159),"",NETWORKDAYS($B159,$C159,Einstellungen!$N$7:$N$40))</f>
        <v/>
      </c>
      <c r="I159" s="12" t="str">
        <f aca="false">IF($A159="","",IF(OR($B159="",$C159=""),"Von und Bis eintragen",IF($C159&lt;$B159,"Bis liegt vor Von",IF(ISNA(MATCH($A159,Team!$A$5:$A$64,0)),"Name fehlt im Blatt Team",IF(COUNTIFS($A$6:$A$605,$A159,$B$6:$B$605,"&lt;="&amp;$C159,$C$6:$C$605,"&gt;="&amp;$B159)&gt;1,"Überschneidet sich mit eigenem Wunsch",IF(OR($B159&lt;Einstellungen!$B$3,$C159&gt;Einstellungen!$B$4),"Teils außerhalb des Planungsjahres","ok"))))))</f>
        <v/>
      </c>
      <c r="J159" s="14"/>
    </row>
    <row r="160" customFormat="false" ht="15" hidden="false" customHeight="false" outlineLevel="0" collapsed="false">
      <c r="A160" s="15"/>
      <c r="B160" s="14"/>
      <c r="C160" s="14"/>
      <c r="D160" s="15"/>
      <c r="E160" s="15"/>
      <c r="F160" s="12" t="str">
        <f aca="false">IF($A160="","",IFERROR(INDEX(Team!$B$5:$B$64,MATCH($A160,Team!$A$5:$A$64,0)),"?"))</f>
        <v/>
      </c>
      <c r="G160" s="13" t="str">
        <f aca="false">IF($A160="","",COUNTIF($A$6:$A160,$A160)&amp;". Wunsch")</f>
        <v/>
      </c>
      <c r="H160" s="13" t="str">
        <f aca="false">IF(OR($A160="",$B160="",$C160="",$C160&lt;$B160),"",NETWORKDAYS($B160,$C160,Einstellungen!$N$7:$N$40))</f>
        <v/>
      </c>
      <c r="I160" s="12" t="str">
        <f aca="false">IF($A160="","",IF(OR($B160="",$C160=""),"Von und Bis eintragen",IF($C160&lt;$B160,"Bis liegt vor Von",IF(ISNA(MATCH($A160,Team!$A$5:$A$64,0)),"Name fehlt im Blatt Team",IF(COUNTIFS($A$6:$A$605,$A160,$B$6:$B$605,"&lt;="&amp;$C160,$C$6:$C$605,"&gt;="&amp;$B160)&gt;1,"Überschneidet sich mit eigenem Wunsch",IF(OR($B160&lt;Einstellungen!$B$3,$C160&gt;Einstellungen!$B$4),"Teils außerhalb des Planungsjahres","ok"))))))</f>
        <v/>
      </c>
      <c r="J160" s="14"/>
    </row>
    <row r="161" customFormat="false" ht="15" hidden="false" customHeight="false" outlineLevel="0" collapsed="false">
      <c r="A161" s="15"/>
      <c r="B161" s="14"/>
      <c r="C161" s="14"/>
      <c r="D161" s="15"/>
      <c r="E161" s="15"/>
      <c r="F161" s="12" t="str">
        <f aca="false">IF($A161="","",IFERROR(INDEX(Team!$B$5:$B$64,MATCH($A161,Team!$A$5:$A$64,0)),"?"))</f>
        <v/>
      </c>
      <c r="G161" s="13" t="str">
        <f aca="false">IF($A161="","",COUNTIF($A$6:$A161,$A161)&amp;". Wunsch")</f>
        <v/>
      </c>
      <c r="H161" s="13" t="str">
        <f aca="false">IF(OR($A161="",$B161="",$C161="",$C161&lt;$B161),"",NETWORKDAYS($B161,$C161,Einstellungen!$N$7:$N$40))</f>
        <v/>
      </c>
      <c r="I161" s="12" t="str">
        <f aca="false">IF($A161="","",IF(OR($B161="",$C161=""),"Von und Bis eintragen",IF($C161&lt;$B161,"Bis liegt vor Von",IF(ISNA(MATCH($A161,Team!$A$5:$A$64,0)),"Name fehlt im Blatt Team",IF(COUNTIFS($A$6:$A$605,$A161,$B$6:$B$605,"&lt;="&amp;$C161,$C$6:$C$605,"&gt;="&amp;$B161)&gt;1,"Überschneidet sich mit eigenem Wunsch",IF(OR($B161&lt;Einstellungen!$B$3,$C161&gt;Einstellungen!$B$4),"Teils außerhalb des Planungsjahres","ok"))))))</f>
        <v/>
      </c>
      <c r="J161" s="14"/>
    </row>
    <row r="162" customFormat="false" ht="15" hidden="false" customHeight="false" outlineLevel="0" collapsed="false">
      <c r="A162" s="15"/>
      <c r="B162" s="14"/>
      <c r="C162" s="14"/>
      <c r="D162" s="15"/>
      <c r="E162" s="15"/>
      <c r="F162" s="12" t="str">
        <f aca="false">IF($A162="","",IFERROR(INDEX(Team!$B$5:$B$64,MATCH($A162,Team!$A$5:$A$64,0)),"?"))</f>
        <v/>
      </c>
      <c r="G162" s="13" t="str">
        <f aca="false">IF($A162="","",COUNTIF($A$6:$A162,$A162)&amp;". Wunsch")</f>
        <v/>
      </c>
      <c r="H162" s="13" t="str">
        <f aca="false">IF(OR($A162="",$B162="",$C162="",$C162&lt;$B162),"",NETWORKDAYS($B162,$C162,Einstellungen!$N$7:$N$40))</f>
        <v/>
      </c>
      <c r="I162" s="12" t="str">
        <f aca="false">IF($A162="","",IF(OR($B162="",$C162=""),"Von und Bis eintragen",IF($C162&lt;$B162,"Bis liegt vor Von",IF(ISNA(MATCH($A162,Team!$A$5:$A$64,0)),"Name fehlt im Blatt Team",IF(COUNTIFS($A$6:$A$605,$A162,$B$6:$B$605,"&lt;="&amp;$C162,$C$6:$C$605,"&gt;="&amp;$B162)&gt;1,"Überschneidet sich mit eigenem Wunsch",IF(OR($B162&lt;Einstellungen!$B$3,$C162&gt;Einstellungen!$B$4),"Teils außerhalb des Planungsjahres","ok"))))))</f>
        <v/>
      </c>
      <c r="J162" s="14"/>
    </row>
    <row r="163" customFormat="false" ht="15" hidden="false" customHeight="false" outlineLevel="0" collapsed="false">
      <c r="A163" s="15"/>
      <c r="B163" s="14"/>
      <c r="C163" s="14"/>
      <c r="D163" s="15"/>
      <c r="E163" s="15"/>
      <c r="F163" s="12" t="str">
        <f aca="false">IF($A163="","",IFERROR(INDEX(Team!$B$5:$B$64,MATCH($A163,Team!$A$5:$A$64,0)),"?"))</f>
        <v/>
      </c>
      <c r="G163" s="13" t="str">
        <f aca="false">IF($A163="","",COUNTIF($A$6:$A163,$A163)&amp;". Wunsch")</f>
        <v/>
      </c>
      <c r="H163" s="13" t="str">
        <f aca="false">IF(OR($A163="",$B163="",$C163="",$C163&lt;$B163),"",NETWORKDAYS($B163,$C163,Einstellungen!$N$7:$N$40))</f>
        <v/>
      </c>
      <c r="I163" s="12" t="str">
        <f aca="false">IF($A163="","",IF(OR($B163="",$C163=""),"Von und Bis eintragen",IF($C163&lt;$B163,"Bis liegt vor Von",IF(ISNA(MATCH($A163,Team!$A$5:$A$64,0)),"Name fehlt im Blatt Team",IF(COUNTIFS($A$6:$A$605,$A163,$B$6:$B$605,"&lt;="&amp;$C163,$C$6:$C$605,"&gt;="&amp;$B163)&gt;1,"Überschneidet sich mit eigenem Wunsch",IF(OR($B163&lt;Einstellungen!$B$3,$C163&gt;Einstellungen!$B$4),"Teils außerhalb des Planungsjahres","ok"))))))</f>
        <v/>
      </c>
      <c r="J163" s="14"/>
    </row>
    <row r="164" customFormat="false" ht="15" hidden="false" customHeight="false" outlineLevel="0" collapsed="false">
      <c r="A164" s="15"/>
      <c r="B164" s="14"/>
      <c r="C164" s="14"/>
      <c r="D164" s="15"/>
      <c r="E164" s="15"/>
      <c r="F164" s="12" t="str">
        <f aca="false">IF($A164="","",IFERROR(INDEX(Team!$B$5:$B$64,MATCH($A164,Team!$A$5:$A$64,0)),"?"))</f>
        <v/>
      </c>
      <c r="G164" s="13" t="str">
        <f aca="false">IF($A164="","",COUNTIF($A$6:$A164,$A164)&amp;". Wunsch")</f>
        <v/>
      </c>
      <c r="H164" s="13" t="str">
        <f aca="false">IF(OR($A164="",$B164="",$C164="",$C164&lt;$B164),"",NETWORKDAYS($B164,$C164,Einstellungen!$N$7:$N$40))</f>
        <v/>
      </c>
      <c r="I164" s="12" t="str">
        <f aca="false">IF($A164="","",IF(OR($B164="",$C164=""),"Von und Bis eintragen",IF($C164&lt;$B164,"Bis liegt vor Von",IF(ISNA(MATCH($A164,Team!$A$5:$A$64,0)),"Name fehlt im Blatt Team",IF(COUNTIFS($A$6:$A$605,$A164,$B$6:$B$605,"&lt;="&amp;$C164,$C$6:$C$605,"&gt;="&amp;$B164)&gt;1,"Überschneidet sich mit eigenem Wunsch",IF(OR($B164&lt;Einstellungen!$B$3,$C164&gt;Einstellungen!$B$4),"Teils außerhalb des Planungsjahres","ok"))))))</f>
        <v/>
      </c>
      <c r="J164" s="14"/>
    </row>
    <row r="165" customFormat="false" ht="15" hidden="false" customHeight="false" outlineLevel="0" collapsed="false">
      <c r="A165" s="15"/>
      <c r="B165" s="14"/>
      <c r="C165" s="14"/>
      <c r="D165" s="15"/>
      <c r="E165" s="15"/>
      <c r="F165" s="12" t="str">
        <f aca="false">IF($A165="","",IFERROR(INDEX(Team!$B$5:$B$64,MATCH($A165,Team!$A$5:$A$64,0)),"?"))</f>
        <v/>
      </c>
      <c r="G165" s="13" t="str">
        <f aca="false">IF($A165="","",COUNTIF($A$6:$A165,$A165)&amp;". Wunsch")</f>
        <v/>
      </c>
      <c r="H165" s="13" t="str">
        <f aca="false">IF(OR($A165="",$B165="",$C165="",$C165&lt;$B165),"",NETWORKDAYS($B165,$C165,Einstellungen!$N$7:$N$40))</f>
        <v/>
      </c>
      <c r="I165" s="12" t="str">
        <f aca="false">IF($A165="","",IF(OR($B165="",$C165=""),"Von und Bis eintragen",IF($C165&lt;$B165,"Bis liegt vor Von",IF(ISNA(MATCH($A165,Team!$A$5:$A$64,0)),"Name fehlt im Blatt Team",IF(COUNTIFS($A$6:$A$605,$A165,$B$6:$B$605,"&lt;="&amp;$C165,$C$6:$C$605,"&gt;="&amp;$B165)&gt;1,"Überschneidet sich mit eigenem Wunsch",IF(OR($B165&lt;Einstellungen!$B$3,$C165&gt;Einstellungen!$B$4),"Teils außerhalb des Planungsjahres","ok"))))))</f>
        <v/>
      </c>
      <c r="J165" s="14"/>
    </row>
    <row r="166" customFormat="false" ht="15" hidden="false" customHeight="false" outlineLevel="0" collapsed="false">
      <c r="A166" s="15"/>
      <c r="B166" s="14"/>
      <c r="C166" s="14"/>
      <c r="D166" s="15"/>
      <c r="E166" s="15"/>
      <c r="F166" s="12" t="str">
        <f aca="false">IF($A166="","",IFERROR(INDEX(Team!$B$5:$B$64,MATCH($A166,Team!$A$5:$A$64,0)),"?"))</f>
        <v/>
      </c>
      <c r="G166" s="13" t="str">
        <f aca="false">IF($A166="","",COUNTIF($A$6:$A166,$A166)&amp;". Wunsch")</f>
        <v/>
      </c>
      <c r="H166" s="13" t="str">
        <f aca="false">IF(OR($A166="",$B166="",$C166="",$C166&lt;$B166),"",NETWORKDAYS($B166,$C166,Einstellungen!$N$7:$N$40))</f>
        <v/>
      </c>
      <c r="I166" s="12" t="str">
        <f aca="false">IF($A166="","",IF(OR($B166="",$C166=""),"Von und Bis eintragen",IF($C166&lt;$B166,"Bis liegt vor Von",IF(ISNA(MATCH($A166,Team!$A$5:$A$64,0)),"Name fehlt im Blatt Team",IF(COUNTIFS($A$6:$A$605,$A166,$B$6:$B$605,"&lt;="&amp;$C166,$C$6:$C$605,"&gt;="&amp;$B166)&gt;1,"Überschneidet sich mit eigenem Wunsch",IF(OR($B166&lt;Einstellungen!$B$3,$C166&gt;Einstellungen!$B$4),"Teils außerhalb des Planungsjahres","ok"))))))</f>
        <v/>
      </c>
      <c r="J166" s="14"/>
    </row>
    <row r="167" customFormat="false" ht="15" hidden="false" customHeight="false" outlineLevel="0" collapsed="false">
      <c r="A167" s="15"/>
      <c r="B167" s="14"/>
      <c r="C167" s="14"/>
      <c r="D167" s="15"/>
      <c r="E167" s="15"/>
      <c r="F167" s="12" t="str">
        <f aca="false">IF($A167="","",IFERROR(INDEX(Team!$B$5:$B$64,MATCH($A167,Team!$A$5:$A$64,0)),"?"))</f>
        <v/>
      </c>
      <c r="G167" s="13" t="str">
        <f aca="false">IF($A167="","",COUNTIF($A$6:$A167,$A167)&amp;". Wunsch")</f>
        <v/>
      </c>
      <c r="H167" s="13" t="str">
        <f aca="false">IF(OR($A167="",$B167="",$C167="",$C167&lt;$B167),"",NETWORKDAYS($B167,$C167,Einstellungen!$N$7:$N$40))</f>
        <v/>
      </c>
      <c r="I167" s="12" t="str">
        <f aca="false">IF($A167="","",IF(OR($B167="",$C167=""),"Von und Bis eintragen",IF($C167&lt;$B167,"Bis liegt vor Von",IF(ISNA(MATCH($A167,Team!$A$5:$A$64,0)),"Name fehlt im Blatt Team",IF(COUNTIFS($A$6:$A$605,$A167,$B$6:$B$605,"&lt;="&amp;$C167,$C$6:$C$605,"&gt;="&amp;$B167)&gt;1,"Überschneidet sich mit eigenem Wunsch",IF(OR($B167&lt;Einstellungen!$B$3,$C167&gt;Einstellungen!$B$4),"Teils außerhalb des Planungsjahres","ok"))))))</f>
        <v/>
      </c>
      <c r="J167" s="14"/>
    </row>
    <row r="168" customFormat="false" ht="15" hidden="false" customHeight="false" outlineLevel="0" collapsed="false">
      <c r="A168" s="15"/>
      <c r="B168" s="14"/>
      <c r="C168" s="14"/>
      <c r="D168" s="15"/>
      <c r="E168" s="15"/>
      <c r="F168" s="12" t="str">
        <f aca="false">IF($A168="","",IFERROR(INDEX(Team!$B$5:$B$64,MATCH($A168,Team!$A$5:$A$64,0)),"?"))</f>
        <v/>
      </c>
      <c r="G168" s="13" t="str">
        <f aca="false">IF($A168="","",COUNTIF($A$6:$A168,$A168)&amp;". Wunsch")</f>
        <v/>
      </c>
      <c r="H168" s="13" t="str">
        <f aca="false">IF(OR($A168="",$B168="",$C168="",$C168&lt;$B168),"",NETWORKDAYS($B168,$C168,Einstellungen!$N$7:$N$40))</f>
        <v/>
      </c>
      <c r="I168" s="12" t="str">
        <f aca="false">IF($A168="","",IF(OR($B168="",$C168=""),"Von und Bis eintragen",IF($C168&lt;$B168,"Bis liegt vor Von",IF(ISNA(MATCH($A168,Team!$A$5:$A$64,0)),"Name fehlt im Blatt Team",IF(COUNTIFS($A$6:$A$605,$A168,$B$6:$B$605,"&lt;="&amp;$C168,$C$6:$C$605,"&gt;="&amp;$B168)&gt;1,"Überschneidet sich mit eigenem Wunsch",IF(OR($B168&lt;Einstellungen!$B$3,$C168&gt;Einstellungen!$B$4),"Teils außerhalb des Planungsjahres","ok"))))))</f>
        <v/>
      </c>
      <c r="J168" s="14"/>
    </row>
    <row r="169" customFormat="false" ht="15" hidden="false" customHeight="false" outlineLevel="0" collapsed="false">
      <c r="A169" s="15"/>
      <c r="B169" s="14"/>
      <c r="C169" s="14"/>
      <c r="D169" s="15"/>
      <c r="E169" s="15"/>
      <c r="F169" s="12" t="str">
        <f aca="false">IF($A169="","",IFERROR(INDEX(Team!$B$5:$B$64,MATCH($A169,Team!$A$5:$A$64,0)),"?"))</f>
        <v/>
      </c>
      <c r="G169" s="13" t="str">
        <f aca="false">IF($A169="","",COUNTIF($A$6:$A169,$A169)&amp;". Wunsch")</f>
        <v/>
      </c>
      <c r="H169" s="13" t="str">
        <f aca="false">IF(OR($A169="",$B169="",$C169="",$C169&lt;$B169),"",NETWORKDAYS($B169,$C169,Einstellungen!$N$7:$N$40))</f>
        <v/>
      </c>
      <c r="I169" s="12" t="str">
        <f aca="false">IF($A169="","",IF(OR($B169="",$C169=""),"Von und Bis eintragen",IF($C169&lt;$B169,"Bis liegt vor Von",IF(ISNA(MATCH($A169,Team!$A$5:$A$64,0)),"Name fehlt im Blatt Team",IF(COUNTIFS($A$6:$A$605,$A169,$B$6:$B$605,"&lt;="&amp;$C169,$C$6:$C$605,"&gt;="&amp;$B169)&gt;1,"Überschneidet sich mit eigenem Wunsch",IF(OR($B169&lt;Einstellungen!$B$3,$C169&gt;Einstellungen!$B$4),"Teils außerhalb des Planungsjahres","ok"))))))</f>
        <v/>
      </c>
      <c r="J169" s="14"/>
    </row>
    <row r="170" customFormat="false" ht="15" hidden="false" customHeight="false" outlineLevel="0" collapsed="false">
      <c r="A170" s="15"/>
      <c r="B170" s="14"/>
      <c r="C170" s="14"/>
      <c r="D170" s="15"/>
      <c r="E170" s="15"/>
      <c r="F170" s="12" t="str">
        <f aca="false">IF($A170="","",IFERROR(INDEX(Team!$B$5:$B$64,MATCH($A170,Team!$A$5:$A$64,0)),"?"))</f>
        <v/>
      </c>
      <c r="G170" s="13" t="str">
        <f aca="false">IF($A170="","",COUNTIF($A$6:$A170,$A170)&amp;". Wunsch")</f>
        <v/>
      </c>
      <c r="H170" s="13" t="str">
        <f aca="false">IF(OR($A170="",$B170="",$C170="",$C170&lt;$B170),"",NETWORKDAYS($B170,$C170,Einstellungen!$N$7:$N$40))</f>
        <v/>
      </c>
      <c r="I170" s="12" t="str">
        <f aca="false">IF($A170="","",IF(OR($B170="",$C170=""),"Von und Bis eintragen",IF($C170&lt;$B170,"Bis liegt vor Von",IF(ISNA(MATCH($A170,Team!$A$5:$A$64,0)),"Name fehlt im Blatt Team",IF(COUNTIFS($A$6:$A$605,$A170,$B$6:$B$605,"&lt;="&amp;$C170,$C$6:$C$605,"&gt;="&amp;$B170)&gt;1,"Überschneidet sich mit eigenem Wunsch",IF(OR($B170&lt;Einstellungen!$B$3,$C170&gt;Einstellungen!$B$4),"Teils außerhalb des Planungsjahres","ok"))))))</f>
        <v/>
      </c>
      <c r="J170" s="14"/>
    </row>
    <row r="171" customFormat="false" ht="15" hidden="false" customHeight="false" outlineLevel="0" collapsed="false">
      <c r="A171" s="15"/>
      <c r="B171" s="14"/>
      <c r="C171" s="14"/>
      <c r="D171" s="15"/>
      <c r="E171" s="15"/>
      <c r="F171" s="12" t="str">
        <f aca="false">IF($A171="","",IFERROR(INDEX(Team!$B$5:$B$64,MATCH($A171,Team!$A$5:$A$64,0)),"?"))</f>
        <v/>
      </c>
      <c r="G171" s="13" t="str">
        <f aca="false">IF($A171="","",COUNTIF($A$6:$A171,$A171)&amp;". Wunsch")</f>
        <v/>
      </c>
      <c r="H171" s="13" t="str">
        <f aca="false">IF(OR($A171="",$B171="",$C171="",$C171&lt;$B171),"",NETWORKDAYS($B171,$C171,Einstellungen!$N$7:$N$40))</f>
        <v/>
      </c>
      <c r="I171" s="12" t="str">
        <f aca="false">IF($A171="","",IF(OR($B171="",$C171=""),"Von und Bis eintragen",IF($C171&lt;$B171,"Bis liegt vor Von",IF(ISNA(MATCH($A171,Team!$A$5:$A$64,0)),"Name fehlt im Blatt Team",IF(COUNTIFS($A$6:$A$605,$A171,$B$6:$B$605,"&lt;="&amp;$C171,$C$6:$C$605,"&gt;="&amp;$B171)&gt;1,"Überschneidet sich mit eigenem Wunsch",IF(OR($B171&lt;Einstellungen!$B$3,$C171&gt;Einstellungen!$B$4),"Teils außerhalb des Planungsjahres","ok"))))))</f>
        <v/>
      </c>
      <c r="J171" s="14"/>
    </row>
    <row r="172" customFormat="false" ht="15" hidden="false" customHeight="false" outlineLevel="0" collapsed="false">
      <c r="A172" s="15"/>
      <c r="B172" s="14"/>
      <c r="C172" s="14"/>
      <c r="D172" s="15"/>
      <c r="E172" s="15"/>
      <c r="F172" s="12" t="str">
        <f aca="false">IF($A172="","",IFERROR(INDEX(Team!$B$5:$B$64,MATCH($A172,Team!$A$5:$A$64,0)),"?"))</f>
        <v/>
      </c>
      <c r="G172" s="13" t="str">
        <f aca="false">IF($A172="","",COUNTIF($A$6:$A172,$A172)&amp;". Wunsch")</f>
        <v/>
      </c>
      <c r="H172" s="13" t="str">
        <f aca="false">IF(OR($A172="",$B172="",$C172="",$C172&lt;$B172),"",NETWORKDAYS($B172,$C172,Einstellungen!$N$7:$N$40))</f>
        <v/>
      </c>
      <c r="I172" s="12" t="str">
        <f aca="false">IF($A172="","",IF(OR($B172="",$C172=""),"Von und Bis eintragen",IF($C172&lt;$B172,"Bis liegt vor Von",IF(ISNA(MATCH($A172,Team!$A$5:$A$64,0)),"Name fehlt im Blatt Team",IF(COUNTIFS($A$6:$A$605,$A172,$B$6:$B$605,"&lt;="&amp;$C172,$C$6:$C$605,"&gt;="&amp;$B172)&gt;1,"Überschneidet sich mit eigenem Wunsch",IF(OR($B172&lt;Einstellungen!$B$3,$C172&gt;Einstellungen!$B$4),"Teils außerhalb des Planungsjahres","ok"))))))</f>
        <v/>
      </c>
      <c r="J172" s="14"/>
    </row>
    <row r="173" customFormat="false" ht="15" hidden="false" customHeight="false" outlineLevel="0" collapsed="false">
      <c r="A173" s="15"/>
      <c r="B173" s="14"/>
      <c r="C173" s="14"/>
      <c r="D173" s="15"/>
      <c r="E173" s="15"/>
      <c r="F173" s="12" t="str">
        <f aca="false">IF($A173="","",IFERROR(INDEX(Team!$B$5:$B$64,MATCH($A173,Team!$A$5:$A$64,0)),"?"))</f>
        <v/>
      </c>
      <c r="G173" s="13" t="str">
        <f aca="false">IF($A173="","",COUNTIF($A$6:$A173,$A173)&amp;". Wunsch")</f>
        <v/>
      </c>
      <c r="H173" s="13" t="str">
        <f aca="false">IF(OR($A173="",$B173="",$C173="",$C173&lt;$B173),"",NETWORKDAYS($B173,$C173,Einstellungen!$N$7:$N$40))</f>
        <v/>
      </c>
      <c r="I173" s="12" t="str">
        <f aca="false">IF($A173="","",IF(OR($B173="",$C173=""),"Von und Bis eintragen",IF($C173&lt;$B173,"Bis liegt vor Von",IF(ISNA(MATCH($A173,Team!$A$5:$A$64,0)),"Name fehlt im Blatt Team",IF(COUNTIFS($A$6:$A$605,$A173,$B$6:$B$605,"&lt;="&amp;$C173,$C$6:$C$605,"&gt;="&amp;$B173)&gt;1,"Überschneidet sich mit eigenem Wunsch",IF(OR($B173&lt;Einstellungen!$B$3,$C173&gt;Einstellungen!$B$4),"Teils außerhalb des Planungsjahres","ok"))))))</f>
        <v/>
      </c>
      <c r="J173" s="14"/>
    </row>
    <row r="174" customFormat="false" ht="15" hidden="false" customHeight="false" outlineLevel="0" collapsed="false">
      <c r="A174" s="15"/>
      <c r="B174" s="14"/>
      <c r="C174" s="14"/>
      <c r="D174" s="15"/>
      <c r="E174" s="15"/>
      <c r="F174" s="12" t="str">
        <f aca="false">IF($A174="","",IFERROR(INDEX(Team!$B$5:$B$64,MATCH($A174,Team!$A$5:$A$64,0)),"?"))</f>
        <v/>
      </c>
      <c r="G174" s="13" t="str">
        <f aca="false">IF($A174="","",COUNTIF($A$6:$A174,$A174)&amp;". Wunsch")</f>
        <v/>
      </c>
      <c r="H174" s="13" t="str">
        <f aca="false">IF(OR($A174="",$B174="",$C174="",$C174&lt;$B174),"",NETWORKDAYS($B174,$C174,Einstellungen!$N$7:$N$40))</f>
        <v/>
      </c>
      <c r="I174" s="12" t="str">
        <f aca="false">IF($A174="","",IF(OR($B174="",$C174=""),"Von und Bis eintragen",IF($C174&lt;$B174,"Bis liegt vor Von",IF(ISNA(MATCH($A174,Team!$A$5:$A$64,0)),"Name fehlt im Blatt Team",IF(COUNTIFS($A$6:$A$605,$A174,$B$6:$B$605,"&lt;="&amp;$C174,$C$6:$C$605,"&gt;="&amp;$B174)&gt;1,"Überschneidet sich mit eigenem Wunsch",IF(OR($B174&lt;Einstellungen!$B$3,$C174&gt;Einstellungen!$B$4),"Teils außerhalb des Planungsjahres","ok"))))))</f>
        <v/>
      </c>
      <c r="J174" s="14"/>
    </row>
    <row r="175" customFormat="false" ht="15" hidden="false" customHeight="false" outlineLevel="0" collapsed="false">
      <c r="A175" s="15"/>
      <c r="B175" s="14"/>
      <c r="C175" s="14"/>
      <c r="D175" s="15"/>
      <c r="E175" s="15"/>
      <c r="F175" s="12" t="str">
        <f aca="false">IF($A175="","",IFERROR(INDEX(Team!$B$5:$B$64,MATCH($A175,Team!$A$5:$A$64,0)),"?"))</f>
        <v/>
      </c>
      <c r="G175" s="13" t="str">
        <f aca="false">IF($A175="","",COUNTIF($A$6:$A175,$A175)&amp;". Wunsch")</f>
        <v/>
      </c>
      <c r="H175" s="13" t="str">
        <f aca="false">IF(OR($A175="",$B175="",$C175="",$C175&lt;$B175),"",NETWORKDAYS($B175,$C175,Einstellungen!$N$7:$N$40))</f>
        <v/>
      </c>
      <c r="I175" s="12" t="str">
        <f aca="false">IF($A175="","",IF(OR($B175="",$C175=""),"Von und Bis eintragen",IF($C175&lt;$B175,"Bis liegt vor Von",IF(ISNA(MATCH($A175,Team!$A$5:$A$64,0)),"Name fehlt im Blatt Team",IF(COUNTIFS($A$6:$A$605,$A175,$B$6:$B$605,"&lt;="&amp;$C175,$C$6:$C$605,"&gt;="&amp;$B175)&gt;1,"Überschneidet sich mit eigenem Wunsch",IF(OR($B175&lt;Einstellungen!$B$3,$C175&gt;Einstellungen!$B$4),"Teils außerhalb des Planungsjahres","ok"))))))</f>
        <v/>
      </c>
      <c r="J175" s="14"/>
    </row>
    <row r="176" customFormat="false" ht="15" hidden="false" customHeight="false" outlineLevel="0" collapsed="false">
      <c r="A176" s="15"/>
      <c r="B176" s="14"/>
      <c r="C176" s="14"/>
      <c r="D176" s="15"/>
      <c r="E176" s="15"/>
      <c r="F176" s="12" t="str">
        <f aca="false">IF($A176="","",IFERROR(INDEX(Team!$B$5:$B$64,MATCH($A176,Team!$A$5:$A$64,0)),"?"))</f>
        <v/>
      </c>
      <c r="G176" s="13" t="str">
        <f aca="false">IF($A176="","",COUNTIF($A$6:$A176,$A176)&amp;". Wunsch")</f>
        <v/>
      </c>
      <c r="H176" s="13" t="str">
        <f aca="false">IF(OR($A176="",$B176="",$C176="",$C176&lt;$B176),"",NETWORKDAYS($B176,$C176,Einstellungen!$N$7:$N$40))</f>
        <v/>
      </c>
      <c r="I176" s="12" t="str">
        <f aca="false">IF($A176="","",IF(OR($B176="",$C176=""),"Von und Bis eintragen",IF($C176&lt;$B176,"Bis liegt vor Von",IF(ISNA(MATCH($A176,Team!$A$5:$A$64,0)),"Name fehlt im Blatt Team",IF(COUNTIFS($A$6:$A$605,$A176,$B$6:$B$605,"&lt;="&amp;$C176,$C$6:$C$605,"&gt;="&amp;$B176)&gt;1,"Überschneidet sich mit eigenem Wunsch",IF(OR($B176&lt;Einstellungen!$B$3,$C176&gt;Einstellungen!$B$4),"Teils außerhalb des Planungsjahres","ok"))))))</f>
        <v/>
      </c>
      <c r="J176" s="14"/>
    </row>
    <row r="177" customFormat="false" ht="15" hidden="false" customHeight="false" outlineLevel="0" collapsed="false">
      <c r="A177" s="15"/>
      <c r="B177" s="14"/>
      <c r="C177" s="14"/>
      <c r="D177" s="15"/>
      <c r="E177" s="15"/>
      <c r="F177" s="12" t="str">
        <f aca="false">IF($A177="","",IFERROR(INDEX(Team!$B$5:$B$64,MATCH($A177,Team!$A$5:$A$64,0)),"?"))</f>
        <v/>
      </c>
      <c r="G177" s="13" t="str">
        <f aca="false">IF($A177="","",COUNTIF($A$6:$A177,$A177)&amp;". Wunsch")</f>
        <v/>
      </c>
      <c r="H177" s="13" t="str">
        <f aca="false">IF(OR($A177="",$B177="",$C177="",$C177&lt;$B177),"",NETWORKDAYS($B177,$C177,Einstellungen!$N$7:$N$40))</f>
        <v/>
      </c>
      <c r="I177" s="12" t="str">
        <f aca="false">IF($A177="","",IF(OR($B177="",$C177=""),"Von und Bis eintragen",IF($C177&lt;$B177,"Bis liegt vor Von",IF(ISNA(MATCH($A177,Team!$A$5:$A$64,0)),"Name fehlt im Blatt Team",IF(COUNTIFS($A$6:$A$605,$A177,$B$6:$B$605,"&lt;="&amp;$C177,$C$6:$C$605,"&gt;="&amp;$B177)&gt;1,"Überschneidet sich mit eigenem Wunsch",IF(OR($B177&lt;Einstellungen!$B$3,$C177&gt;Einstellungen!$B$4),"Teils außerhalb des Planungsjahres","ok"))))))</f>
        <v/>
      </c>
      <c r="J177" s="14"/>
    </row>
    <row r="178" customFormat="false" ht="15" hidden="false" customHeight="false" outlineLevel="0" collapsed="false">
      <c r="A178" s="15"/>
      <c r="B178" s="14"/>
      <c r="C178" s="14"/>
      <c r="D178" s="15"/>
      <c r="E178" s="15"/>
      <c r="F178" s="12" t="str">
        <f aca="false">IF($A178="","",IFERROR(INDEX(Team!$B$5:$B$64,MATCH($A178,Team!$A$5:$A$64,0)),"?"))</f>
        <v/>
      </c>
      <c r="G178" s="13" t="str">
        <f aca="false">IF($A178="","",COUNTIF($A$6:$A178,$A178)&amp;". Wunsch")</f>
        <v/>
      </c>
      <c r="H178" s="13" t="str">
        <f aca="false">IF(OR($A178="",$B178="",$C178="",$C178&lt;$B178),"",NETWORKDAYS($B178,$C178,Einstellungen!$N$7:$N$40))</f>
        <v/>
      </c>
      <c r="I178" s="12" t="str">
        <f aca="false">IF($A178="","",IF(OR($B178="",$C178=""),"Von und Bis eintragen",IF($C178&lt;$B178,"Bis liegt vor Von",IF(ISNA(MATCH($A178,Team!$A$5:$A$64,0)),"Name fehlt im Blatt Team",IF(COUNTIFS($A$6:$A$605,$A178,$B$6:$B$605,"&lt;="&amp;$C178,$C$6:$C$605,"&gt;="&amp;$B178)&gt;1,"Überschneidet sich mit eigenem Wunsch",IF(OR($B178&lt;Einstellungen!$B$3,$C178&gt;Einstellungen!$B$4),"Teils außerhalb des Planungsjahres","ok"))))))</f>
        <v/>
      </c>
      <c r="J178" s="14"/>
    </row>
    <row r="179" customFormat="false" ht="15" hidden="false" customHeight="false" outlineLevel="0" collapsed="false">
      <c r="A179" s="15"/>
      <c r="B179" s="14"/>
      <c r="C179" s="14"/>
      <c r="D179" s="15"/>
      <c r="E179" s="15"/>
      <c r="F179" s="12" t="str">
        <f aca="false">IF($A179="","",IFERROR(INDEX(Team!$B$5:$B$64,MATCH($A179,Team!$A$5:$A$64,0)),"?"))</f>
        <v/>
      </c>
      <c r="G179" s="13" t="str">
        <f aca="false">IF($A179="","",COUNTIF($A$6:$A179,$A179)&amp;". Wunsch")</f>
        <v/>
      </c>
      <c r="H179" s="13" t="str">
        <f aca="false">IF(OR($A179="",$B179="",$C179="",$C179&lt;$B179),"",NETWORKDAYS($B179,$C179,Einstellungen!$N$7:$N$40))</f>
        <v/>
      </c>
      <c r="I179" s="12" t="str">
        <f aca="false">IF($A179="","",IF(OR($B179="",$C179=""),"Von und Bis eintragen",IF($C179&lt;$B179,"Bis liegt vor Von",IF(ISNA(MATCH($A179,Team!$A$5:$A$64,0)),"Name fehlt im Blatt Team",IF(COUNTIFS($A$6:$A$605,$A179,$B$6:$B$605,"&lt;="&amp;$C179,$C$6:$C$605,"&gt;="&amp;$B179)&gt;1,"Überschneidet sich mit eigenem Wunsch",IF(OR($B179&lt;Einstellungen!$B$3,$C179&gt;Einstellungen!$B$4),"Teils außerhalb des Planungsjahres","ok"))))))</f>
        <v/>
      </c>
      <c r="J179" s="14"/>
    </row>
    <row r="180" customFormat="false" ht="15" hidden="false" customHeight="false" outlineLevel="0" collapsed="false">
      <c r="A180" s="15"/>
      <c r="B180" s="14"/>
      <c r="C180" s="14"/>
      <c r="D180" s="15"/>
      <c r="E180" s="15"/>
      <c r="F180" s="12" t="str">
        <f aca="false">IF($A180="","",IFERROR(INDEX(Team!$B$5:$B$64,MATCH($A180,Team!$A$5:$A$64,0)),"?"))</f>
        <v/>
      </c>
      <c r="G180" s="13" t="str">
        <f aca="false">IF($A180="","",COUNTIF($A$6:$A180,$A180)&amp;". Wunsch")</f>
        <v/>
      </c>
      <c r="H180" s="13" t="str">
        <f aca="false">IF(OR($A180="",$B180="",$C180="",$C180&lt;$B180),"",NETWORKDAYS($B180,$C180,Einstellungen!$N$7:$N$40))</f>
        <v/>
      </c>
      <c r="I180" s="12" t="str">
        <f aca="false">IF($A180="","",IF(OR($B180="",$C180=""),"Von und Bis eintragen",IF($C180&lt;$B180,"Bis liegt vor Von",IF(ISNA(MATCH($A180,Team!$A$5:$A$64,0)),"Name fehlt im Blatt Team",IF(COUNTIFS($A$6:$A$605,$A180,$B$6:$B$605,"&lt;="&amp;$C180,$C$6:$C$605,"&gt;="&amp;$B180)&gt;1,"Überschneidet sich mit eigenem Wunsch",IF(OR($B180&lt;Einstellungen!$B$3,$C180&gt;Einstellungen!$B$4),"Teils außerhalb des Planungsjahres","ok"))))))</f>
        <v/>
      </c>
      <c r="J180" s="14"/>
    </row>
    <row r="181" customFormat="false" ht="15" hidden="false" customHeight="false" outlineLevel="0" collapsed="false">
      <c r="A181" s="15"/>
      <c r="B181" s="14"/>
      <c r="C181" s="14"/>
      <c r="D181" s="15"/>
      <c r="E181" s="15"/>
      <c r="F181" s="12" t="str">
        <f aca="false">IF($A181="","",IFERROR(INDEX(Team!$B$5:$B$64,MATCH($A181,Team!$A$5:$A$64,0)),"?"))</f>
        <v/>
      </c>
      <c r="G181" s="13" t="str">
        <f aca="false">IF($A181="","",COUNTIF($A$6:$A181,$A181)&amp;". Wunsch")</f>
        <v/>
      </c>
      <c r="H181" s="13" t="str">
        <f aca="false">IF(OR($A181="",$B181="",$C181="",$C181&lt;$B181),"",NETWORKDAYS($B181,$C181,Einstellungen!$N$7:$N$40))</f>
        <v/>
      </c>
      <c r="I181" s="12" t="str">
        <f aca="false">IF($A181="","",IF(OR($B181="",$C181=""),"Von und Bis eintragen",IF($C181&lt;$B181,"Bis liegt vor Von",IF(ISNA(MATCH($A181,Team!$A$5:$A$64,0)),"Name fehlt im Blatt Team",IF(COUNTIFS($A$6:$A$605,$A181,$B$6:$B$605,"&lt;="&amp;$C181,$C$6:$C$605,"&gt;="&amp;$B181)&gt;1,"Überschneidet sich mit eigenem Wunsch",IF(OR($B181&lt;Einstellungen!$B$3,$C181&gt;Einstellungen!$B$4),"Teils außerhalb des Planungsjahres","ok"))))))</f>
        <v/>
      </c>
      <c r="J181" s="14"/>
    </row>
    <row r="182" customFormat="false" ht="15" hidden="false" customHeight="false" outlineLevel="0" collapsed="false">
      <c r="A182" s="15"/>
      <c r="B182" s="14"/>
      <c r="C182" s="14"/>
      <c r="D182" s="15"/>
      <c r="E182" s="15"/>
      <c r="F182" s="12" t="str">
        <f aca="false">IF($A182="","",IFERROR(INDEX(Team!$B$5:$B$64,MATCH($A182,Team!$A$5:$A$64,0)),"?"))</f>
        <v/>
      </c>
      <c r="G182" s="13" t="str">
        <f aca="false">IF($A182="","",COUNTIF($A$6:$A182,$A182)&amp;". Wunsch")</f>
        <v/>
      </c>
      <c r="H182" s="13" t="str">
        <f aca="false">IF(OR($A182="",$B182="",$C182="",$C182&lt;$B182),"",NETWORKDAYS($B182,$C182,Einstellungen!$N$7:$N$40))</f>
        <v/>
      </c>
      <c r="I182" s="12" t="str">
        <f aca="false">IF($A182="","",IF(OR($B182="",$C182=""),"Von und Bis eintragen",IF($C182&lt;$B182,"Bis liegt vor Von",IF(ISNA(MATCH($A182,Team!$A$5:$A$64,0)),"Name fehlt im Blatt Team",IF(COUNTIFS($A$6:$A$605,$A182,$B$6:$B$605,"&lt;="&amp;$C182,$C$6:$C$605,"&gt;="&amp;$B182)&gt;1,"Überschneidet sich mit eigenem Wunsch",IF(OR($B182&lt;Einstellungen!$B$3,$C182&gt;Einstellungen!$B$4),"Teils außerhalb des Planungsjahres","ok"))))))</f>
        <v/>
      </c>
      <c r="J182" s="14"/>
    </row>
    <row r="183" customFormat="false" ht="15" hidden="false" customHeight="false" outlineLevel="0" collapsed="false">
      <c r="A183" s="15"/>
      <c r="B183" s="14"/>
      <c r="C183" s="14"/>
      <c r="D183" s="15"/>
      <c r="E183" s="15"/>
      <c r="F183" s="12" t="str">
        <f aca="false">IF($A183="","",IFERROR(INDEX(Team!$B$5:$B$64,MATCH($A183,Team!$A$5:$A$64,0)),"?"))</f>
        <v/>
      </c>
      <c r="G183" s="13" t="str">
        <f aca="false">IF($A183="","",COUNTIF($A$6:$A183,$A183)&amp;". Wunsch")</f>
        <v/>
      </c>
      <c r="H183" s="13" t="str">
        <f aca="false">IF(OR($A183="",$B183="",$C183="",$C183&lt;$B183),"",NETWORKDAYS($B183,$C183,Einstellungen!$N$7:$N$40))</f>
        <v/>
      </c>
      <c r="I183" s="12" t="str">
        <f aca="false">IF($A183="","",IF(OR($B183="",$C183=""),"Von und Bis eintragen",IF($C183&lt;$B183,"Bis liegt vor Von",IF(ISNA(MATCH($A183,Team!$A$5:$A$64,0)),"Name fehlt im Blatt Team",IF(COUNTIFS($A$6:$A$605,$A183,$B$6:$B$605,"&lt;="&amp;$C183,$C$6:$C$605,"&gt;="&amp;$B183)&gt;1,"Überschneidet sich mit eigenem Wunsch",IF(OR($B183&lt;Einstellungen!$B$3,$C183&gt;Einstellungen!$B$4),"Teils außerhalb des Planungsjahres","ok"))))))</f>
        <v/>
      </c>
      <c r="J183" s="14"/>
    </row>
    <row r="184" customFormat="false" ht="15" hidden="false" customHeight="false" outlineLevel="0" collapsed="false">
      <c r="A184" s="15"/>
      <c r="B184" s="14"/>
      <c r="C184" s="14"/>
      <c r="D184" s="15"/>
      <c r="E184" s="15"/>
      <c r="F184" s="12" t="str">
        <f aca="false">IF($A184="","",IFERROR(INDEX(Team!$B$5:$B$64,MATCH($A184,Team!$A$5:$A$64,0)),"?"))</f>
        <v/>
      </c>
      <c r="G184" s="13" t="str">
        <f aca="false">IF($A184="","",COUNTIF($A$6:$A184,$A184)&amp;". Wunsch")</f>
        <v/>
      </c>
      <c r="H184" s="13" t="str">
        <f aca="false">IF(OR($A184="",$B184="",$C184="",$C184&lt;$B184),"",NETWORKDAYS($B184,$C184,Einstellungen!$N$7:$N$40))</f>
        <v/>
      </c>
      <c r="I184" s="12" t="str">
        <f aca="false">IF($A184="","",IF(OR($B184="",$C184=""),"Von und Bis eintragen",IF($C184&lt;$B184,"Bis liegt vor Von",IF(ISNA(MATCH($A184,Team!$A$5:$A$64,0)),"Name fehlt im Blatt Team",IF(COUNTIFS($A$6:$A$605,$A184,$B$6:$B$605,"&lt;="&amp;$C184,$C$6:$C$605,"&gt;="&amp;$B184)&gt;1,"Überschneidet sich mit eigenem Wunsch",IF(OR($B184&lt;Einstellungen!$B$3,$C184&gt;Einstellungen!$B$4),"Teils außerhalb des Planungsjahres","ok"))))))</f>
        <v/>
      </c>
      <c r="J184" s="14"/>
    </row>
    <row r="185" customFormat="false" ht="15" hidden="false" customHeight="false" outlineLevel="0" collapsed="false">
      <c r="A185" s="15"/>
      <c r="B185" s="14"/>
      <c r="C185" s="14"/>
      <c r="D185" s="15"/>
      <c r="E185" s="15"/>
      <c r="F185" s="12" t="str">
        <f aca="false">IF($A185="","",IFERROR(INDEX(Team!$B$5:$B$64,MATCH($A185,Team!$A$5:$A$64,0)),"?"))</f>
        <v/>
      </c>
      <c r="G185" s="13" t="str">
        <f aca="false">IF($A185="","",COUNTIF($A$6:$A185,$A185)&amp;". Wunsch")</f>
        <v/>
      </c>
      <c r="H185" s="13" t="str">
        <f aca="false">IF(OR($A185="",$B185="",$C185="",$C185&lt;$B185),"",NETWORKDAYS($B185,$C185,Einstellungen!$N$7:$N$40))</f>
        <v/>
      </c>
      <c r="I185" s="12" t="str">
        <f aca="false">IF($A185="","",IF(OR($B185="",$C185=""),"Von und Bis eintragen",IF($C185&lt;$B185,"Bis liegt vor Von",IF(ISNA(MATCH($A185,Team!$A$5:$A$64,0)),"Name fehlt im Blatt Team",IF(COUNTIFS($A$6:$A$605,$A185,$B$6:$B$605,"&lt;="&amp;$C185,$C$6:$C$605,"&gt;="&amp;$B185)&gt;1,"Überschneidet sich mit eigenem Wunsch",IF(OR($B185&lt;Einstellungen!$B$3,$C185&gt;Einstellungen!$B$4),"Teils außerhalb des Planungsjahres","ok"))))))</f>
        <v/>
      </c>
      <c r="J185" s="14"/>
    </row>
    <row r="186" customFormat="false" ht="15" hidden="false" customHeight="false" outlineLevel="0" collapsed="false">
      <c r="A186" s="15"/>
      <c r="B186" s="14"/>
      <c r="C186" s="14"/>
      <c r="D186" s="15"/>
      <c r="E186" s="15"/>
      <c r="F186" s="12" t="str">
        <f aca="false">IF($A186="","",IFERROR(INDEX(Team!$B$5:$B$64,MATCH($A186,Team!$A$5:$A$64,0)),"?"))</f>
        <v/>
      </c>
      <c r="G186" s="13" t="str">
        <f aca="false">IF($A186="","",COUNTIF($A$6:$A186,$A186)&amp;". Wunsch")</f>
        <v/>
      </c>
      <c r="H186" s="13" t="str">
        <f aca="false">IF(OR($A186="",$B186="",$C186="",$C186&lt;$B186),"",NETWORKDAYS($B186,$C186,Einstellungen!$N$7:$N$40))</f>
        <v/>
      </c>
      <c r="I186" s="12" t="str">
        <f aca="false">IF($A186="","",IF(OR($B186="",$C186=""),"Von und Bis eintragen",IF($C186&lt;$B186,"Bis liegt vor Von",IF(ISNA(MATCH($A186,Team!$A$5:$A$64,0)),"Name fehlt im Blatt Team",IF(COUNTIFS($A$6:$A$605,$A186,$B$6:$B$605,"&lt;="&amp;$C186,$C$6:$C$605,"&gt;="&amp;$B186)&gt;1,"Überschneidet sich mit eigenem Wunsch",IF(OR($B186&lt;Einstellungen!$B$3,$C186&gt;Einstellungen!$B$4),"Teils außerhalb des Planungsjahres","ok"))))))</f>
        <v/>
      </c>
      <c r="J186" s="14"/>
    </row>
    <row r="187" customFormat="false" ht="15" hidden="false" customHeight="false" outlineLevel="0" collapsed="false">
      <c r="A187" s="15"/>
      <c r="B187" s="14"/>
      <c r="C187" s="14"/>
      <c r="D187" s="15"/>
      <c r="E187" s="15"/>
      <c r="F187" s="12" t="str">
        <f aca="false">IF($A187="","",IFERROR(INDEX(Team!$B$5:$B$64,MATCH($A187,Team!$A$5:$A$64,0)),"?"))</f>
        <v/>
      </c>
      <c r="G187" s="13" t="str">
        <f aca="false">IF($A187="","",COUNTIF($A$6:$A187,$A187)&amp;". Wunsch")</f>
        <v/>
      </c>
      <c r="H187" s="13" t="str">
        <f aca="false">IF(OR($A187="",$B187="",$C187="",$C187&lt;$B187),"",NETWORKDAYS($B187,$C187,Einstellungen!$N$7:$N$40))</f>
        <v/>
      </c>
      <c r="I187" s="12" t="str">
        <f aca="false">IF($A187="","",IF(OR($B187="",$C187=""),"Von und Bis eintragen",IF($C187&lt;$B187,"Bis liegt vor Von",IF(ISNA(MATCH($A187,Team!$A$5:$A$64,0)),"Name fehlt im Blatt Team",IF(COUNTIFS($A$6:$A$605,$A187,$B$6:$B$605,"&lt;="&amp;$C187,$C$6:$C$605,"&gt;="&amp;$B187)&gt;1,"Überschneidet sich mit eigenem Wunsch",IF(OR($B187&lt;Einstellungen!$B$3,$C187&gt;Einstellungen!$B$4),"Teils außerhalb des Planungsjahres","ok"))))))</f>
        <v/>
      </c>
      <c r="J187" s="14"/>
    </row>
    <row r="188" customFormat="false" ht="15" hidden="false" customHeight="false" outlineLevel="0" collapsed="false">
      <c r="A188" s="15"/>
      <c r="B188" s="14"/>
      <c r="C188" s="14"/>
      <c r="D188" s="15"/>
      <c r="E188" s="15"/>
      <c r="F188" s="12" t="str">
        <f aca="false">IF($A188="","",IFERROR(INDEX(Team!$B$5:$B$64,MATCH($A188,Team!$A$5:$A$64,0)),"?"))</f>
        <v/>
      </c>
      <c r="G188" s="13" t="str">
        <f aca="false">IF($A188="","",COUNTIF($A$6:$A188,$A188)&amp;". Wunsch")</f>
        <v/>
      </c>
      <c r="H188" s="13" t="str">
        <f aca="false">IF(OR($A188="",$B188="",$C188="",$C188&lt;$B188),"",NETWORKDAYS($B188,$C188,Einstellungen!$N$7:$N$40))</f>
        <v/>
      </c>
      <c r="I188" s="12" t="str">
        <f aca="false">IF($A188="","",IF(OR($B188="",$C188=""),"Von und Bis eintragen",IF($C188&lt;$B188,"Bis liegt vor Von",IF(ISNA(MATCH($A188,Team!$A$5:$A$64,0)),"Name fehlt im Blatt Team",IF(COUNTIFS($A$6:$A$605,$A188,$B$6:$B$605,"&lt;="&amp;$C188,$C$6:$C$605,"&gt;="&amp;$B188)&gt;1,"Überschneidet sich mit eigenem Wunsch",IF(OR($B188&lt;Einstellungen!$B$3,$C188&gt;Einstellungen!$B$4),"Teils außerhalb des Planungsjahres","ok"))))))</f>
        <v/>
      </c>
      <c r="J188" s="14"/>
    </row>
    <row r="189" customFormat="false" ht="15" hidden="false" customHeight="false" outlineLevel="0" collapsed="false">
      <c r="A189" s="15"/>
      <c r="B189" s="14"/>
      <c r="C189" s="14"/>
      <c r="D189" s="15"/>
      <c r="E189" s="15"/>
      <c r="F189" s="12" t="str">
        <f aca="false">IF($A189="","",IFERROR(INDEX(Team!$B$5:$B$64,MATCH($A189,Team!$A$5:$A$64,0)),"?"))</f>
        <v/>
      </c>
      <c r="G189" s="13" t="str">
        <f aca="false">IF($A189="","",COUNTIF($A$6:$A189,$A189)&amp;". Wunsch")</f>
        <v/>
      </c>
      <c r="H189" s="13" t="str">
        <f aca="false">IF(OR($A189="",$B189="",$C189="",$C189&lt;$B189),"",NETWORKDAYS($B189,$C189,Einstellungen!$N$7:$N$40))</f>
        <v/>
      </c>
      <c r="I189" s="12" t="str">
        <f aca="false">IF($A189="","",IF(OR($B189="",$C189=""),"Von und Bis eintragen",IF($C189&lt;$B189,"Bis liegt vor Von",IF(ISNA(MATCH($A189,Team!$A$5:$A$64,0)),"Name fehlt im Blatt Team",IF(COUNTIFS($A$6:$A$605,$A189,$B$6:$B$605,"&lt;="&amp;$C189,$C$6:$C$605,"&gt;="&amp;$B189)&gt;1,"Überschneidet sich mit eigenem Wunsch",IF(OR($B189&lt;Einstellungen!$B$3,$C189&gt;Einstellungen!$B$4),"Teils außerhalb des Planungsjahres","ok"))))))</f>
        <v/>
      </c>
      <c r="J189" s="14"/>
    </row>
    <row r="190" customFormat="false" ht="15" hidden="false" customHeight="false" outlineLevel="0" collapsed="false">
      <c r="A190" s="15"/>
      <c r="B190" s="14"/>
      <c r="C190" s="14"/>
      <c r="D190" s="15"/>
      <c r="E190" s="15"/>
      <c r="F190" s="12" t="str">
        <f aca="false">IF($A190="","",IFERROR(INDEX(Team!$B$5:$B$64,MATCH($A190,Team!$A$5:$A$64,0)),"?"))</f>
        <v/>
      </c>
      <c r="G190" s="13" t="str">
        <f aca="false">IF($A190="","",COUNTIF($A$6:$A190,$A190)&amp;". Wunsch")</f>
        <v/>
      </c>
      <c r="H190" s="13" t="str">
        <f aca="false">IF(OR($A190="",$B190="",$C190="",$C190&lt;$B190),"",NETWORKDAYS($B190,$C190,Einstellungen!$N$7:$N$40))</f>
        <v/>
      </c>
      <c r="I190" s="12" t="str">
        <f aca="false">IF($A190="","",IF(OR($B190="",$C190=""),"Von und Bis eintragen",IF($C190&lt;$B190,"Bis liegt vor Von",IF(ISNA(MATCH($A190,Team!$A$5:$A$64,0)),"Name fehlt im Blatt Team",IF(COUNTIFS($A$6:$A$605,$A190,$B$6:$B$605,"&lt;="&amp;$C190,$C$6:$C$605,"&gt;="&amp;$B190)&gt;1,"Überschneidet sich mit eigenem Wunsch",IF(OR($B190&lt;Einstellungen!$B$3,$C190&gt;Einstellungen!$B$4),"Teils außerhalb des Planungsjahres","ok"))))))</f>
        <v/>
      </c>
      <c r="J190" s="14"/>
    </row>
    <row r="191" customFormat="false" ht="15" hidden="false" customHeight="false" outlineLevel="0" collapsed="false">
      <c r="A191" s="15"/>
      <c r="B191" s="14"/>
      <c r="C191" s="14"/>
      <c r="D191" s="15"/>
      <c r="E191" s="15"/>
      <c r="F191" s="12" t="str">
        <f aca="false">IF($A191="","",IFERROR(INDEX(Team!$B$5:$B$64,MATCH($A191,Team!$A$5:$A$64,0)),"?"))</f>
        <v/>
      </c>
      <c r="G191" s="13" t="str">
        <f aca="false">IF($A191="","",COUNTIF($A$6:$A191,$A191)&amp;". Wunsch")</f>
        <v/>
      </c>
      <c r="H191" s="13" t="str">
        <f aca="false">IF(OR($A191="",$B191="",$C191="",$C191&lt;$B191),"",NETWORKDAYS($B191,$C191,Einstellungen!$N$7:$N$40))</f>
        <v/>
      </c>
      <c r="I191" s="12" t="str">
        <f aca="false">IF($A191="","",IF(OR($B191="",$C191=""),"Von und Bis eintragen",IF($C191&lt;$B191,"Bis liegt vor Von",IF(ISNA(MATCH($A191,Team!$A$5:$A$64,0)),"Name fehlt im Blatt Team",IF(COUNTIFS($A$6:$A$605,$A191,$B$6:$B$605,"&lt;="&amp;$C191,$C$6:$C$605,"&gt;="&amp;$B191)&gt;1,"Überschneidet sich mit eigenem Wunsch",IF(OR($B191&lt;Einstellungen!$B$3,$C191&gt;Einstellungen!$B$4),"Teils außerhalb des Planungsjahres","ok"))))))</f>
        <v/>
      </c>
      <c r="J191" s="14"/>
    </row>
    <row r="192" customFormat="false" ht="15" hidden="false" customHeight="false" outlineLevel="0" collapsed="false">
      <c r="A192" s="15"/>
      <c r="B192" s="14"/>
      <c r="C192" s="14"/>
      <c r="D192" s="15"/>
      <c r="E192" s="15"/>
      <c r="F192" s="12" t="str">
        <f aca="false">IF($A192="","",IFERROR(INDEX(Team!$B$5:$B$64,MATCH($A192,Team!$A$5:$A$64,0)),"?"))</f>
        <v/>
      </c>
      <c r="G192" s="13" t="str">
        <f aca="false">IF($A192="","",COUNTIF($A$6:$A192,$A192)&amp;". Wunsch")</f>
        <v/>
      </c>
      <c r="H192" s="13" t="str">
        <f aca="false">IF(OR($A192="",$B192="",$C192="",$C192&lt;$B192),"",NETWORKDAYS($B192,$C192,Einstellungen!$N$7:$N$40))</f>
        <v/>
      </c>
      <c r="I192" s="12" t="str">
        <f aca="false">IF($A192="","",IF(OR($B192="",$C192=""),"Von und Bis eintragen",IF($C192&lt;$B192,"Bis liegt vor Von",IF(ISNA(MATCH($A192,Team!$A$5:$A$64,0)),"Name fehlt im Blatt Team",IF(COUNTIFS($A$6:$A$605,$A192,$B$6:$B$605,"&lt;="&amp;$C192,$C$6:$C$605,"&gt;="&amp;$B192)&gt;1,"Überschneidet sich mit eigenem Wunsch",IF(OR($B192&lt;Einstellungen!$B$3,$C192&gt;Einstellungen!$B$4),"Teils außerhalb des Planungsjahres","ok"))))))</f>
        <v/>
      </c>
      <c r="J192" s="14"/>
    </row>
    <row r="193" customFormat="false" ht="15" hidden="false" customHeight="false" outlineLevel="0" collapsed="false">
      <c r="A193" s="15"/>
      <c r="B193" s="14"/>
      <c r="C193" s="14"/>
      <c r="D193" s="15"/>
      <c r="E193" s="15"/>
      <c r="F193" s="12" t="str">
        <f aca="false">IF($A193="","",IFERROR(INDEX(Team!$B$5:$B$64,MATCH($A193,Team!$A$5:$A$64,0)),"?"))</f>
        <v/>
      </c>
      <c r="G193" s="13" t="str">
        <f aca="false">IF($A193="","",COUNTIF($A$6:$A193,$A193)&amp;". Wunsch")</f>
        <v/>
      </c>
      <c r="H193" s="13" t="str">
        <f aca="false">IF(OR($A193="",$B193="",$C193="",$C193&lt;$B193),"",NETWORKDAYS($B193,$C193,Einstellungen!$N$7:$N$40))</f>
        <v/>
      </c>
      <c r="I193" s="12" t="str">
        <f aca="false">IF($A193="","",IF(OR($B193="",$C193=""),"Von und Bis eintragen",IF($C193&lt;$B193,"Bis liegt vor Von",IF(ISNA(MATCH($A193,Team!$A$5:$A$64,0)),"Name fehlt im Blatt Team",IF(COUNTIFS($A$6:$A$605,$A193,$B$6:$B$605,"&lt;="&amp;$C193,$C$6:$C$605,"&gt;="&amp;$B193)&gt;1,"Überschneidet sich mit eigenem Wunsch",IF(OR($B193&lt;Einstellungen!$B$3,$C193&gt;Einstellungen!$B$4),"Teils außerhalb des Planungsjahres","ok"))))))</f>
        <v/>
      </c>
      <c r="J193" s="14"/>
    </row>
    <row r="194" customFormat="false" ht="15" hidden="false" customHeight="false" outlineLevel="0" collapsed="false">
      <c r="A194" s="15"/>
      <c r="B194" s="14"/>
      <c r="C194" s="14"/>
      <c r="D194" s="15"/>
      <c r="E194" s="15"/>
      <c r="F194" s="12" t="str">
        <f aca="false">IF($A194="","",IFERROR(INDEX(Team!$B$5:$B$64,MATCH($A194,Team!$A$5:$A$64,0)),"?"))</f>
        <v/>
      </c>
      <c r="G194" s="13" t="str">
        <f aca="false">IF($A194="","",COUNTIF($A$6:$A194,$A194)&amp;". Wunsch")</f>
        <v/>
      </c>
      <c r="H194" s="13" t="str">
        <f aca="false">IF(OR($A194="",$B194="",$C194="",$C194&lt;$B194),"",NETWORKDAYS($B194,$C194,Einstellungen!$N$7:$N$40))</f>
        <v/>
      </c>
      <c r="I194" s="12" t="str">
        <f aca="false">IF($A194="","",IF(OR($B194="",$C194=""),"Von und Bis eintragen",IF($C194&lt;$B194,"Bis liegt vor Von",IF(ISNA(MATCH($A194,Team!$A$5:$A$64,0)),"Name fehlt im Blatt Team",IF(COUNTIFS($A$6:$A$605,$A194,$B$6:$B$605,"&lt;="&amp;$C194,$C$6:$C$605,"&gt;="&amp;$B194)&gt;1,"Überschneidet sich mit eigenem Wunsch",IF(OR($B194&lt;Einstellungen!$B$3,$C194&gt;Einstellungen!$B$4),"Teils außerhalb des Planungsjahres","ok"))))))</f>
        <v/>
      </c>
      <c r="J194" s="14"/>
    </row>
    <row r="195" customFormat="false" ht="15" hidden="false" customHeight="false" outlineLevel="0" collapsed="false">
      <c r="A195" s="15"/>
      <c r="B195" s="14"/>
      <c r="C195" s="14"/>
      <c r="D195" s="15"/>
      <c r="E195" s="15"/>
      <c r="F195" s="12" t="str">
        <f aca="false">IF($A195="","",IFERROR(INDEX(Team!$B$5:$B$64,MATCH($A195,Team!$A$5:$A$64,0)),"?"))</f>
        <v/>
      </c>
      <c r="G195" s="13" t="str">
        <f aca="false">IF($A195="","",COUNTIF($A$6:$A195,$A195)&amp;". Wunsch")</f>
        <v/>
      </c>
      <c r="H195" s="13" t="str">
        <f aca="false">IF(OR($A195="",$B195="",$C195="",$C195&lt;$B195),"",NETWORKDAYS($B195,$C195,Einstellungen!$N$7:$N$40))</f>
        <v/>
      </c>
      <c r="I195" s="12" t="str">
        <f aca="false">IF($A195="","",IF(OR($B195="",$C195=""),"Von und Bis eintragen",IF($C195&lt;$B195,"Bis liegt vor Von",IF(ISNA(MATCH($A195,Team!$A$5:$A$64,0)),"Name fehlt im Blatt Team",IF(COUNTIFS($A$6:$A$605,$A195,$B$6:$B$605,"&lt;="&amp;$C195,$C$6:$C$605,"&gt;="&amp;$B195)&gt;1,"Überschneidet sich mit eigenem Wunsch",IF(OR($B195&lt;Einstellungen!$B$3,$C195&gt;Einstellungen!$B$4),"Teils außerhalb des Planungsjahres","ok"))))))</f>
        <v/>
      </c>
      <c r="J195" s="14"/>
    </row>
    <row r="196" customFormat="false" ht="15" hidden="false" customHeight="false" outlineLevel="0" collapsed="false">
      <c r="A196" s="15"/>
      <c r="B196" s="14"/>
      <c r="C196" s="14"/>
      <c r="D196" s="15"/>
      <c r="E196" s="15"/>
      <c r="F196" s="12" t="str">
        <f aca="false">IF($A196="","",IFERROR(INDEX(Team!$B$5:$B$64,MATCH($A196,Team!$A$5:$A$64,0)),"?"))</f>
        <v/>
      </c>
      <c r="G196" s="13" t="str">
        <f aca="false">IF($A196="","",COUNTIF($A$6:$A196,$A196)&amp;". Wunsch")</f>
        <v/>
      </c>
      <c r="H196" s="13" t="str">
        <f aca="false">IF(OR($A196="",$B196="",$C196="",$C196&lt;$B196),"",NETWORKDAYS($B196,$C196,Einstellungen!$N$7:$N$40))</f>
        <v/>
      </c>
      <c r="I196" s="12" t="str">
        <f aca="false">IF($A196="","",IF(OR($B196="",$C196=""),"Von und Bis eintragen",IF($C196&lt;$B196,"Bis liegt vor Von",IF(ISNA(MATCH($A196,Team!$A$5:$A$64,0)),"Name fehlt im Blatt Team",IF(COUNTIFS($A$6:$A$605,$A196,$B$6:$B$605,"&lt;="&amp;$C196,$C$6:$C$605,"&gt;="&amp;$B196)&gt;1,"Überschneidet sich mit eigenem Wunsch",IF(OR($B196&lt;Einstellungen!$B$3,$C196&gt;Einstellungen!$B$4),"Teils außerhalb des Planungsjahres","ok"))))))</f>
        <v/>
      </c>
      <c r="J196" s="14"/>
    </row>
    <row r="197" customFormat="false" ht="15" hidden="false" customHeight="false" outlineLevel="0" collapsed="false">
      <c r="A197" s="15"/>
      <c r="B197" s="14"/>
      <c r="C197" s="14"/>
      <c r="D197" s="15"/>
      <c r="E197" s="15"/>
      <c r="F197" s="12" t="str">
        <f aca="false">IF($A197="","",IFERROR(INDEX(Team!$B$5:$B$64,MATCH($A197,Team!$A$5:$A$64,0)),"?"))</f>
        <v/>
      </c>
      <c r="G197" s="13" t="str">
        <f aca="false">IF($A197="","",COUNTIF($A$6:$A197,$A197)&amp;". Wunsch")</f>
        <v/>
      </c>
      <c r="H197" s="13" t="str">
        <f aca="false">IF(OR($A197="",$B197="",$C197="",$C197&lt;$B197),"",NETWORKDAYS($B197,$C197,Einstellungen!$N$7:$N$40))</f>
        <v/>
      </c>
      <c r="I197" s="12" t="str">
        <f aca="false">IF($A197="","",IF(OR($B197="",$C197=""),"Von und Bis eintragen",IF($C197&lt;$B197,"Bis liegt vor Von",IF(ISNA(MATCH($A197,Team!$A$5:$A$64,0)),"Name fehlt im Blatt Team",IF(COUNTIFS($A$6:$A$605,$A197,$B$6:$B$605,"&lt;="&amp;$C197,$C$6:$C$605,"&gt;="&amp;$B197)&gt;1,"Überschneidet sich mit eigenem Wunsch",IF(OR($B197&lt;Einstellungen!$B$3,$C197&gt;Einstellungen!$B$4),"Teils außerhalb des Planungsjahres","ok"))))))</f>
        <v/>
      </c>
      <c r="J197" s="14"/>
    </row>
    <row r="198" customFormat="false" ht="15" hidden="false" customHeight="false" outlineLevel="0" collapsed="false">
      <c r="A198" s="15"/>
      <c r="B198" s="14"/>
      <c r="C198" s="14"/>
      <c r="D198" s="15"/>
      <c r="E198" s="15"/>
      <c r="F198" s="12" t="str">
        <f aca="false">IF($A198="","",IFERROR(INDEX(Team!$B$5:$B$64,MATCH($A198,Team!$A$5:$A$64,0)),"?"))</f>
        <v/>
      </c>
      <c r="G198" s="13" t="str">
        <f aca="false">IF($A198="","",COUNTIF($A$6:$A198,$A198)&amp;". Wunsch")</f>
        <v/>
      </c>
      <c r="H198" s="13" t="str">
        <f aca="false">IF(OR($A198="",$B198="",$C198="",$C198&lt;$B198),"",NETWORKDAYS($B198,$C198,Einstellungen!$N$7:$N$40))</f>
        <v/>
      </c>
      <c r="I198" s="12" t="str">
        <f aca="false">IF($A198="","",IF(OR($B198="",$C198=""),"Von und Bis eintragen",IF($C198&lt;$B198,"Bis liegt vor Von",IF(ISNA(MATCH($A198,Team!$A$5:$A$64,0)),"Name fehlt im Blatt Team",IF(COUNTIFS($A$6:$A$605,$A198,$B$6:$B$605,"&lt;="&amp;$C198,$C$6:$C$605,"&gt;="&amp;$B198)&gt;1,"Überschneidet sich mit eigenem Wunsch",IF(OR($B198&lt;Einstellungen!$B$3,$C198&gt;Einstellungen!$B$4),"Teils außerhalb des Planungsjahres","ok"))))))</f>
        <v/>
      </c>
      <c r="J198" s="14"/>
    </row>
    <row r="199" customFormat="false" ht="15" hidden="false" customHeight="false" outlineLevel="0" collapsed="false">
      <c r="A199" s="15"/>
      <c r="B199" s="14"/>
      <c r="C199" s="14"/>
      <c r="D199" s="15"/>
      <c r="E199" s="15"/>
      <c r="F199" s="12" t="str">
        <f aca="false">IF($A199="","",IFERROR(INDEX(Team!$B$5:$B$64,MATCH($A199,Team!$A$5:$A$64,0)),"?"))</f>
        <v/>
      </c>
      <c r="G199" s="13" t="str">
        <f aca="false">IF($A199="","",COUNTIF($A$6:$A199,$A199)&amp;". Wunsch")</f>
        <v/>
      </c>
      <c r="H199" s="13" t="str">
        <f aca="false">IF(OR($A199="",$B199="",$C199="",$C199&lt;$B199),"",NETWORKDAYS($B199,$C199,Einstellungen!$N$7:$N$40))</f>
        <v/>
      </c>
      <c r="I199" s="12" t="str">
        <f aca="false">IF($A199="","",IF(OR($B199="",$C199=""),"Von und Bis eintragen",IF($C199&lt;$B199,"Bis liegt vor Von",IF(ISNA(MATCH($A199,Team!$A$5:$A$64,0)),"Name fehlt im Blatt Team",IF(COUNTIFS($A$6:$A$605,$A199,$B$6:$B$605,"&lt;="&amp;$C199,$C$6:$C$605,"&gt;="&amp;$B199)&gt;1,"Überschneidet sich mit eigenem Wunsch",IF(OR($B199&lt;Einstellungen!$B$3,$C199&gt;Einstellungen!$B$4),"Teils außerhalb des Planungsjahres","ok"))))))</f>
        <v/>
      </c>
      <c r="J199" s="14"/>
    </row>
    <row r="200" customFormat="false" ht="15" hidden="false" customHeight="false" outlineLevel="0" collapsed="false">
      <c r="A200" s="15"/>
      <c r="B200" s="14"/>
      <c r="C200" s="14"/>
      <c r="D200" s="15"/>
      <c r="E200" s="15"/>
      <c r="F200" s="12" t="str">
        <f aca="false">IF($A200="","",IFERROR(INDEX(Team!$B$5:$B$64,MATCH($A200,Team!$A$5:$A$64,0)),"?"))</f>
        <v/>
      </c>
      <c r="G200" s="13" t="str">
        <f aca="false">IF($A200="","",COUNTIF($A$6:$A200,$A200)&amp;". Wunsch")</f>
        <v/>
      </c>
      <c r="H200" s="13" t="str">
        <f aca="false">IF(OR($A200="",$B200="",$C200="",$C200&lt;$B200),"",NETWORKDAYS($B200,$C200,Einstellungen!$N$7:$N$40))</f>
        <v/>
      </c>
      <c r="I200" s="12" t="str">
        <f aca="false">IF($A200="","",IF(OR($B200="",$C200=""),"Von und Bis eintragen",IF($C200&lt;$B200,"Bis liegt vor Von",IF(ISNA(MATCH($A200,Team!$A$5:$A$64,0)),"Name fehlt im Blatt Team",IF(COUNTIFS($A$6:$A$605,$A200,$B$6:$B$605,"&lt;="&amp;$C200,$C$6:$C$605,"&gt;="&amp;$B200)&gt;1,"Überschneidet sich mit eigenem Wunsch",IF(OR($B200&lt;Einstellungen!$B$3,$C200&gt;Einstellungen!$B$4),"Teils außerhalb des Planungsjahres","ok"))))))</f>
        <v/>
      </c>
      <c r="J200" s="14"/>
    </row>
    <row r="201" customFormat="false" ht="15" hidden="false" customHeight="false" outlineLevel="0" collapsed="false">
      <c r="A201" s="15"/>
      <c r="B201" s="14"/>
      <c r="C201" s="14"/>
      <c r="D201" s="15"/>
      <c r="E201" s="15"/>
      <c r="F201" s="12" t="str">
        <f aca="false">IF($A201="","",IFERROR(INDEX(Team!$B$5:$B$64,MATCH($A201,Team!$A$5:$A$64,0)),"?"))</f>
        <v/>
      </c>
      <c r="G201" s="13" t="str">
        <f aca="false">IF($A201="","",COUNTIF($A$6:$A201,$A201)&amp;". Wunsch")</f>
        <v/>
      </c>
      <c r="H201" s="13" t="str">
        <f aca="false">IF(OR($A201="",$B201="",$C201="",$C201&lt;$B201),"",NETWORKDAYS($B201,$C201,Einstellungen!$N$7:$N$40))</f>
        <v/>
      </c>
      <c r="I201" s="12" t="str">
        <f aca="false">IF($A201="","",IF(OR($B201="",$C201=""),"Von und Bis eintragen",IF($C201&lt;$B201,"Bis liegt vor Von",IF(ISNA(MATCH($A201,Team!$A$5:$A$64,0)),"Name fehlt im Blatt Team",IF(COUNTIFS($A$6:$A$605,$A201,$B$6:$B$605,"&lt;="&amp;$C201,$C$6:$C$605,"&gt;="&amp;$B201)&gt;1,"Überschneidet sich mit eigenem Wunsch",IF(OR($B201&lt;Einstellungen!$B$3,$C201&gt;Einstellungen!$B$4),"Teils außerhalb des Planungsjahres","ok"))))))</f>
        <v/>
      </c>
      <c r="J201" s="14"/>
    </row>
    <row r="202" customFormat="false" ht="15" hidden="false" customHeight="false" outlineLevel="0" collapsed="false">
      <c r="A202" s="15"/>
      <c r="B202" s="14"/>
      <c r="C202" s="14"/>
      <c r="D202" s="15"/>
      <c r="E202" s="15"/>
      <c r="F202" s="12" t="str">
        <f aca="false">IF($A202="","",IFERROR(INDEX(Team!$B$5:$B$64,MATCH($A202,Team!$A$5:$A$64,0)),"?"))</f>
        <v/>
      </c>
      <c r="G202" s="13" t="str">
        <f aca="false">IF($A202="","",COUNTIF($A$6:$A202,$A202)&amp;". Wunsch")</f>
        <v/>
      </c>
      <c r="H202" s="13" t="str">
        <f aca="false">IF(OR($A202="",$B202="",$C202="",$C202&lt;$B202),"",NETWORKDAYS($B202,$C202,Einstellungen!$N$7:$N$40))</f>
        <v/>
      </c>
      <c r="I202" s="12" t="str">
        <f aca="false">IF($A202="","",IF(OR($B202="",$C202=""),"Von und Bis eintragen",IF($C202&lt;$B202,"Bis liegt vor Von",IF(ISNA(MATCH($A202,Team!$A$5:$A$64,0)),"Name fehlt im Blatt Team",IF(COUNTIFS($A$6:$A$605,$A202,$B$6:$B$605,"&lt;="&amp;$C202,$C$6:$C$605,"&gt;="&amp;$B202)&gt;1,"Überschneidet sich mit eigenem Wunsch",IF(OR($B202&lt;Einstellungen!$B$3,$C202&gt;Einstellungen!$B$4),"Teils außerhalb des Planungsjahres","ok"))))))</f>
        <v/>
      </c>
      <c r="J202" s="14"/>
    </row>
    <row r="203" customFormat="false" ht="15" hidden="false" customHeight="false" outlineLevel="0" collapsed="false">
      <c r="A203" s="15"/>
      <c r="B203" s="14"/>
      <c r="C203" s="14"/>
      <c r="D203" s="15"/>
      <c r="E203" s="15"/>
      <c r="F203" s="12" t="str">
        <f aca="false">IF($A203="","",IFERROR(INDEX(Team!$B$5:$B$64,MATCH($A203,Team!$A$5:$A$64,0)),"?"))</f>
        <v/>
      </c>
      <c r="G203" s="13" t="str">
        <f aca="false">IF($A203="","",COUNTIF($A$6:$A203,$A203)&amp;". Wunsch")</f>
        <v/>
      </c>
      <c r="H203" s="13" t="str">
        <f aca="false">IF(OR($A203="",$B203="",$C203="",$C203&lt;$B203),"",NETWORKDAYS($B203,$C203,Einstellungen!$N$7:$N$40))</f>
        <v/>
      </c>
      <c r="I203" s="12" t="str">
        <f aca="false">IF($A203="","",IF(OR($B203="",$C203=""),"Von und Bis eintragen",IF($C203&lt;$B203,"Bis liegt vor Von",IF(ISNA(MATCH($A203,Team!$A$5:$A$64,0)),"Name fehlt im Blatt Team",IF(COUNTIFS($A$6:$A$605,$A203,$B$6:$B$605,"&lt;="&amp;$C203,$C$6:$C$605,"&gt;="&amp;$B203)&gt;1,"Überschneidet sich mit eigenem Wunsch",IF(OR($B203&lt;Einstellungen!$B$3,$C203&gt;Einstellungen!$B$4),"Teils außerhalb des Planungsjahres","ok"))))))</f>
        <v/>
      </c>
      <c r="J203" s="14"/>
    </row>
    <row r="204" customFormat="false" ht="15" hidden="false" customHeight="false" outlineLevel="0" collapsed="false">
      <c r="A204" s="15"/>
      <c r="B204" s="14"/>
      <c r="C204" s="14"/>
      <c r="D204" s="15"/>
      <c r="E204" s="15"/>
      <c r="F204" s="12" t="str">
        <f aca="false">IF($A204="","",IFERROR(INDEX(Team!$B$5:$B$64,MATCH($A204,Team!$A$5:$A$64,0)),"?"))</f>
        <v/>
      </c>
      <c r="G204" s="13" t="str">
        <f aca="false">IF($A204="","",COUNTIF($A$6:$A204,$A204)&amp;". Wunsch")</f>
        <v/>
      </c>
      <c r="H204" s="13" t="str">
        <f aca="false">IF(OR($A204="",$B204="",$C204="",$C204&lt;$B204),"",NETWORKDAYS($B204,$C204,Einstellungen!$N$7:$N$40))</f>
        <v/>
      </c>
      <c r="I204" s="12" t="str">
        <f aca="false">IF($A204="","",IF(OR($B204="",$C204=""),"Von und Bis eintragen",IF($C204&lt;$B204,"Bis liegt vor Von",IF(ISNA(MATCH($A204,Team!$A$5:$A$64,0)),"Name fehlt im Blatt Team",IF(COUNTIFS($A$6:$A$605,$A204,$B$6:$B$605,"&lt;="&amp;$C204,$C$6:$C$605,"&gt;="&amp;$B204)&gt;1,"Überschneidet sich mit eigenem Wunsch",IF(OR($B204&lt;Einstellungen!$B$3,$C204&gt;Einstellungen!$B$4),"Teils außerhalb des Planungsjahres","ok"))))))</f>
        <v/>
      </c>
      <c r="J204" s="14"/>
    </row>
    <row r="205" customFormat="false" ht="15" hidden="false" customHeight="false" outlineLevel="0" collapsed="false">
      <c r="A205" s="15"/>
      <c r="B205" s="14"/>
      <c r="C205" s="14"/>
      <c r="D205" s="15"/>
      <c r="E205" s="15"/>
      <c r="F205" s="12" t="str">
        <f aca="false">IF($A205="","",IFERROR(INDEX(Team!$B$5:$B$64,MATCH($A205,Team!$A$5:$A$64,0)),"?"))</f>
        <v/>
      </c>
      <c r="G205" s="13" t="str">
        <f aca="false">IF($A205="","",COUNTIF($A$6:$A205,$A205)&amp;". Wunsch")</f>
        <v/>
      </c>
      <c r="H205" s="13" t="str">
        <f aca="false">IF(OR($A205="",$B205="",$C205="",$C205&lt;$B205),"",NETWORKDAYS($B205,$C205,Einstellungen!$N$7:$N$40))</f>
        <v/>
      </c>
      <c r="I205" s="12" t="str">
        <f aca="false">IF($A205="","",IF(OR($B205="",$C205=""),"Von und Bis eintragen",IF($C205&lt;$B205,"Bis liegt vor Von",IF(ISNA(MATCH($A205,Team!$A$5:$A$64,0)),"Name fehlt im Blatt Team",IF(COUNTIFS($A$6:$A$605,$A205,$B$6:$B$605,"&lt;="&amp;$C205,$C$6:$C$605,"&gt;="&amp;$B205)&gt;1,"Überschneidet sich mit eigenem Wunsch",IF(OR($B205&lt;Einstellungen!$B$3,$C205&gt;Einstellungen!$B$4),"Teils außerhalb des Planungsjahres","ok"))))))</f>
        <v/>
      </c>
      <c r="J205" s="14"/>
    </row>
    <row r="206" customFormat="false" ht="15" hidden="false" customHeight="false" outlineLevel="0" collapsed="false">
      <c r="A206" s="15"/>
      <c r="B206" s="14"/>
      <c r="C206" s="14"/>
      <c r="D206" s="15"/>
      <c r="E206" s="15"/>
      <c r="F206" s="12" t="str">
        <f aca="false">IF($A206="","",IFERROR(INDEX(Team!$B$5:$B$64,MATCH($A206,Team!$A$5:$A$64,0)),"?"))</f>
        <v/>
      </c>
      <c r="G206" s="13" t="str">
        <f aca="false">IF($A206="","",COUNTIF($A$6:$A206,$A206)&amp;". Wunsch")</f>
        <v/>
      </c>
      <c r="H206" s="13" t="str">
        <f aca="false">IF(OR($A206="",$B206="",$C206="",$C206&lt;$B206),"",NETWORKDAYS($B206,$C206,Einstellungen!$N$7:$N$40))</f>
        <v/>
      </c>
      <c r="I206" s="12" t="str">
        <f aca="false">IF($A206="","",IF(OR($B206="",$C206=""),"Von und Bis eintragen",IF($C206&lt;$B206,"Bis liegt vor Von",IF(ISNA(MATCH($A206,Team!$A$5:$A$64,0)),"Name fehlt im Blatt Team",IF(COUNTIFS($A$6:$A$605,$A206,$B$6:$B$605,"&lt;="&amp;$C206,$C$6:$C$605,"&gt;="&amp;$B206)&gt;1,"Überschneidet sich mit eigenem Wunsch",IF(OR($B206&lt;Einstellungen!$B$3,$C206&gt;Einstellungen!$B$4),"Teils außerhalb des Planungsjahres","ok"))))))</f>
        <v/>
      </c>
      <c r="J206" s="14"/>
    </row>
    <row r="207" customFormat="false" ht="15" hidden="false" customHeight="false" outlineLevel="0" collapsed="false">
      <c r="A207" s="15"/>
      <c r="B207" s="14"/>
      <c r="C207" s="14"/>
      <c r="D207" s="15"/>
      <c r="E207" s="15"/>
      <c r="F207" s="12" t="str">
        <f aca="false">IF($A207="","",IFERROR(INDEX(Team!$B$5:$B$64,MATCH($A207,Team!$A$5:$A$64,0)),"?"))</f>
        <v/>
      </c>
      <c r="G207" s="13" t="str">
        <f aca="false">IF($A207="","",COUNTIF($A$6:$A207,$A207)&amp;". Wunsch")</f>
        <v/>
      </c>
      <c r="H207" s="13" t="str">
        <f aca="false">IF(OR($A207="",$B207="",$C207="",$C207&lt;$B207),"",NETWORKDAYS($B207,$C207,Einstellungen!$N$7:$N$40))</f>
        <v/>
      </c>
      <c r="I207" s="12" t="str">
        <f aca="false">IF($A207="","",IF(OR($B207="",$C207=""),"Von und Bis eintragen",IF($C207&lt;$B207,"Bis liegt vor Von",IF(ISNA(MATCH($A207,Team!$A$5:$A$64,0)),"Name fehlt im Blatt Team",IF(COUNTIFS($A$6:$A$605,$A207,$B$6:$B$605,"&lt;="&amp;$C207,$C$6:$C$605,"&gt;="&amp;$B207)&gt;1,"Überschneidet sich mit eigenem Wunsch",IF(OR($B207&lt;Einstellungen!$B$3,$C207&gt;Einstellungen!$B$4),"Teils außerhalb des Planungsjahres","ok"))))))</f>
        <v/>
      </c>
      <c r="J207" s="14"/>
    </row>
    <row r="208" customFormat="false" ht="15" hidden="false" customHeight="false" outlineLevel="0" collapsed="false">
      <c r="A208" s="15"/>
      <c r="B208" s="14"/>
      <c r="C208" s="14"/>
      <c r="D208" s="15"/>
      <c r="E208" s="15"/>
      <c r="F208" s="12" t="str">
        <f aca="false">IF($A208="","",IFERROR(INDEX(Team!$B$5:$B$64,MATCH($A208,Team!$A$5:$A$64,0)),"?"))</f>
        <v/>
      </c>
      <c r="G208" s="13" t="str">
        <f aca="false">IF($A208="","",COUNTIF($A$6:$A208,$A208)&amp;". Wunsch")</f>
        <v/>
      </c>
      <c r="H208" s="13" t="str">
        <f aca="false">IF(OR($A208="",$B208="",$C208="",$C208&lt;$B208),"",NETWORKDAYS($B208,$C208,Einstellungen!$N$7:$N$40))</f>
        <v/>
      </c>
      <c r="I208" s="12" t="str">
        <f aca="false">IF($A208="","",IF(OR($B208="",$C208=""),"Von und Bis eintragen",IF($C208&lt;$B208,"Bis liegt vor Von",IF(ISNA(MATCH($A208,Team!$A$5:$A$64,0)),"Name fehlt im Blatt Team",IF(COUNTIFS($A$6:$A$605,$A208,$B$6:$B$605,"&lt;="&amp;$C208,$C$6:$C$605,"&gt;="&amp;$B208)&gt;1,"Überschneidet sich mit eigenem Wunsch",IF(OR($B208&lt;Einstellungen!$B$3,$C208&gt;Einstellungen!$B$4),"Teils außerhalb des Planungsjahres","ok"))))))</f>
        <v/>
      </c>
      <c r="J208" s="14"/>
    </row>
    <row r="209" customFormat="false" ht="15" hidden="false" customHeight="false" outlineLevel="0" collapsed="false">
      <c r="A209" s="15"/>
      <c r="B209" s="14"/>
      <c r="C209" s="14"/>
      <c r="D209" s="15"/>
      <c r="E209" s="15"/>
      <c r="F209" s="12" t="str">
        <f aca="false">IF($A209="","",IFERROR(INDEX(Team!$B$5:$B$64,MATCH($A209,Team!$A$5:$A$64,0)),"?"))</f>
        <v/>
      </c>
      <c r="G209" s="13" t="str">
        <f aca="false">IF($A209="","",COUNTIF($A$6:$A209,$A209)&amp;". Wunsch")</f>
        <v/>
      </c>
      <c r="H209" s="13" t="str">
        <f aca="false">IF(OR($A209="",$B209="",$C209="",$C209&lt;$B209),"",NETWORKDAYS($B209,$C209,Einstellungen!$N$7:$N$40))</f>
        <v/>
      </c>
      <c r="I209" s="12" t="str">
        <f aca="false">IF($A209="","",IF(OR($B209="",$C209=""),"Von und Bis eintragen",IF($C209&lt;$B209,"Bis liegt vor Von",IF(ISNA(MATCH($A209,Team!$A$5:$A$64,0)),"Name fehlt im Blatt Team",IF(COUNTIFS($A$6:$A$605,$A209,$B$6:$B$605,"&lt;="&amp;$C209,$C$6:$C$605,"&gt;="&amp;$B209)&gt;1,"Überschneidet sich mit eigenem Wunsch",IF(OR($B209&lt;Einstellungen!$B$3,$C209&gt;Einstellungen!$B$4),"Teils außerhalb des Planungsjahres","ok"))))))</f>
        <v/>
      </c>
      <c r="J209" s="14"/>
    </row>
    <row r="210" customFormat="false" ht="15" hidden="false" customHeight="false" outlineLevel="0" collapsed="false">
      <c r="A210" s="15"/>
      <c r="B210" s="14"/>
      <c r="C210" s="14"/>
      <c r="D210" s="15"/>
      <c r="E210" s="15"/>
      <c r="F210" s="12" t="str">
        <f aca="false">IF($A210="","",IFERROR(INDEX(Team!$B$5:$B$64,MATCH($A210,Team!$A$5:$A$64,0)),"?"))</f>
        <v/>
      </c>
      <c r="G210" s="13" t="str">
        <f aca="false">IF($A210="","",COUNTIF($A$6:$A210,$A210)&amp;". Wunsch")</f>
        <v/>
      </c>
      <c r="H210" s="13" t="str">
        <f aca="false">IF(OR($A210="",$B210="",$C210="",$C210&lt;$B210),"",NETWORKDAYS($B210,$C210,Einstellungen!$N$7:$N$40))</f>
        <v/>
      </c>
      <c r="I210" s="12" t="str">
        <f aca="false">IF($A210="","",IF(OR($B210="",$C210=""),"Von und Bis eintragen",IF($C210&lt;$B210,"Bis liegt vor Von",IF(ISNA(MATCH($A210,Team!$A$5:$A$64,0)),"Name fehlt im Blatt Team",IF(COUNTIFS($A$6:$A$605,$A210,$B$6:$B$605,"&lt;="&amp;$C210,$C$6:$C$605,"&gt;="&amp;$B210)&gt;1,"Überschneidet sich mit eigenem Wunsch",IF(OR($B210&lt;Einstellungen!$B$3,$C210&gt;Einstellungen!$B$4),"Teils außerhalb des Planungsjahres","ok"))))))</f>
        <v/>
      </c>
      <c r="J210" s="14"/>
    </row>
    <row r="211" customFormat="false" ht="15" hidden="false" customHeight="false" outlineLevel="0" collapsed="false">
      <c r="A211" s="15"/>
      <c r="B211" s="14"/>
      <c r="C211" s="14"/>
      <c r="D211" s="15"/>
      <c r="E211" s="15"/>
      <c r="F211" s="12" t="str">
        <f aca="false">IF($A211="","",IFERROR(INDEX(Team!$B$5:$B$64,MATCH($A211,Team!$A$5:$A$64,0)),"?"))</f>
        <v/>
      </c>
      <c r="G211" s="13" t="str">
        <f aca="false">IF($A211="","",COUNTIF($A$6:$A211,$A211)&amp;". Wunsch")</f>
        <v/>
      </c>
      <c r="H211" s="13" t="str">
        <f aca="false">IF(OR($A211="",$B211="",$C211="",$C211&lt;$B211),"",NETWORKDAYS($B211,$C211,Einstellungen!$N$7:$N$40))</f>
        <v/>
      </c>
      <c r="I211" s="12" t="str">
        <f aca="false">IF($A211="","",IF(OR($B211="",$C211=""),"Von und Bis eintragen",IF($C211&lt;$B211,"Bis liegt vor Von",IF(ISNA(MATCH($A211,Team!$A$5:$A$64,0)),"Name fehlt im Blatt Team",IF(COUNTIFS($A$6:$A$605,$A211,$B$6:$B$605,"&lt;="&amp;$C211,$C$6:$C$605,"&gt;="&amp;$B211)&gt;1,"Überschneidet sich mit eigenem Wunsch",IF(OR($B211&lt;Einstellungen!$B$3,$C211&gt;Einstellungen!$B$4),"Teils außerhalb des Planungsjahres","ok"))))))</f>
        <v/>
      </c>
      <c r="J211" s="14"/>
    </row>
    <row r="212" customFormat="false" ht="15" hidden="false" customHeight="false" outlineLevel="0" collapsed="false">
      <c r="A212" s="15"/>
      <c r="B212" s="14"/>
      <c r="C212" s="14"/>
      <c r="D212" s="15"/>
      <c r="E212" s="15"/>
      <c r="F212" s="12" t="str">
        <f aca="false">IF($A212="","",IFERROR(INDEX(Team!$B$5:$B$64,MATCH($A212,Team!$A$5:$A$64,0)),"?"))</f>
        <v/>
      </c>
      <c r="G212" s="13" t="str">
        <f aca="false">IF($A212="","",COUNTIF($A$6:$A212,$A212)&amp;". Wunsch")</f>
        <v/>
      </c>
      <c r="H212" s="13" t="str">
        <f aca="false">IF(OR($A212="",$B212="",$C212="",$C212&lt;$B212),"",NETWORKDAYS($B212,$C212,Einstellungen!$N$7:$N$40))</f>
        <v/>
      </c>
      <c r="I212" s="12" t="str">
        <f aca="false">IF($A212="","",IF(OR($B212="",$C212=""),"Von und Bis eintragen",IF($C212&lt;$B212,"Bis liegt vor Von",IF(ISNA(MATCH($A212,Team!$A$5:$A$64,0)),"Name fehlt im Blatt Team",IF(COUNTIFS($A$6:$A$605,$A212,$B$6:$B$605,"&lt;="&amp;$C212,$C$6:$C$605,"&gt;="&amp;$B212)&gt;1,"Überschneidet sich mit eigenem Wunsch",IF(OR($B212&lt;Einstellungen!$B$3,$C212&gt;Einstellungen!$B$4),"Teils außerhalb des Planungsjahres","ok"))))))</f>
        <v/>
      </c>
      <c r="J212" s="14"/>
    </row>
    <row r="213" customFormat="false" ht="15" hidden="false" customHeight="false" outlineLevel="0" collapsed="false">
      <c r="A213" s="15"/>
      <c r="B213" s="14"/>
      <c r="C213" s="14"/>
      <c r="D213" s="15"/>
      <c r="E213" s="15"/>
      <c r="F213" s="12" t="str">
        <f aca="false">IF($A213="","",IFERROR(INDEX(Team!$B$5:$B$64,MATCH($A213,Team!$A$5:$A$64,0)),"?"))</f>
        <v/>
      </c>
      <c r="G213" s="13" t="str">
        <f aca="false">IF($A213="","",COUNTIF($A$6:$A213,$A213)&amp;". Wunsch")</f>
        <v/>
      </c>
      <c r="H213" s="13" t="str">
        <f aca="false">IF(OR($A213="",$B213="",$C213="",$C213&lt;$B213),"",NETWORKDAYS($B213,$C213,Einstellungen!$N$7:$N$40))</f>
        <v/>
      </c>
      <c r="I213" s="12" t="str">
        <f aca="false">IF($A213="","",IF(OR($B213="",$C213=""),"Von und Bis eintragen",IF($C213&lt;$B213,"Bis liegt vor Von",IF(ISNA(MATCH($A213,Team!$A$5:$A$64,0)),"Name fehlt im Blatt Team",IF(COUNTIFS($A$6:$A$605,$A213,$B$6:$B$605,"&lt;="&amp;$C213,$C$6:$C$605,"&gt;="&amp;$B213)&gt;1,"Überschneidet sich mit eigenem Wunsch",IF(OR($B213&lt;Einstellungen!$B$3,$C213&gt;Einstellungen!$B$4),"Teils außerhalb des Planungsjahres","ok"))))))</f>
        <v/>
      </c>
      <c r="J213" s="14"/>
    </row>
    <row r="214" customFormat="false" ht="15" hidden="false" customHeight="false" outlineLevel="0" collapsed="false">
      <c r="A214" s="15"/>
      <c r="B214" s="14"/>
      <c r="C214" s="14"/>
      <c r="D214" s="15"/>
      <c r="E214" s="15"/>
      <c r="F214" s="12" t="str">
        <f aca="false">IF($A214="","",IFERROR(INDEX(Team!$B$5:$B$64,MATCH($A214,Team!$A$5:$A$64,0)),"?"))</f>
        <v/>
      </c>
      <c r="G214" s="13" t="str">
        <f aca="false">IF($A214="","",COUNTIF($A$6:$A214,$A214)&amp;". Wunsch")</f>
        <v/>
      </c>
      <c r="H214" s="13" t="str">
        <f aca="false">IF(OR($A214="",$B214="",$C214="",$C214&lt;$B214),"",NETWORKDAYS($B214,$C214,Einstellungen!$N$7:$N$40))</f>
        <v/>
      </c>
      <c r="I214" s="12" t="str">
        <f aca="false">IF($A214="","",IF(OR($B214="",$C214=""),"Von und Bis eintragen",IF($C214&lt;$B214,"Bis liegt vor Von",IF(ISNA(MATCH($A214,Team!$A$5:$A$64,0)),"Name fehlt im Blatt Team",IF(COUNTIFS($A$6:$A$605,$A214,$B$6:$B$605,"&lt;="&amp;$C214,$C$6:$C$605,"&gt;="&amp;$B214)&gt;1,"Überschneidet sich mit eigenem Wunsch",IF(OR($B214&lt;Einstellungen!$B$3,$C214&gt;Einstellungen!$B$4),"Teils außerhalb des Planungsjahres","ok"))))))</f>
        <v/>
      </c>
      <c r="J214" s="14"/>
    </row>
    <row r="215" customFormat="false" ht="15" hidden="false" customHeight="false" outlineLevel="0" collapsed="false">
      <c r="A215" s="15"/>
      <c r="B215" s="14"/>
      <c r="C215" s="14"/>
      <c r="D215" s="15"/>
      <c r="E215" s="15"/>
      <c r="F215" s="12" t="str">
        <f aca="false">IF($A215="","",IFERROR(INDEX(Team!$B$5:$B$64,MATCH($A215,Team!$A$5:$A$64,0)),"?"))</f>
        <v/>
      </c>
      <c r="G215" s="13" t="str">
        <f aca="false">IF($A215="","",COUNTIF($A$6:$A215,$A215)&amp;". Wunsch")</f>
        <v/>
      </c>
      <c r="H215" s="13" t="str">
        <f aca="false">IF(OR($A215="",$B215="",$C215="",$C215&lt;$B215),"",NETWORKDAYS($B215,$C215,Einstellungen!$N$7:$N$40))</f>
        <v/>
      </c>
      <c r="I215" s="12" t="str">
        <f aca="false">IF($A215="","",IF(OR($B215="",$C215=""),"Von und Bis eintragen",IF($C215&lt;$B215,"Bis liegt vor Von",IF(ISNA(MATCH($A215,Team!$A$5:$A$64,0)),"Name fehlt im Blatt Team",IF(COUNTIFS($A$6:$A$605,$A215,$B$6:$B$605,"&lt;="&amp;$C215,$C$6:$C$605,"&gt;="&amp;$B215)&gt;1,"Überschneidet sich mit eigenem Wunsch",IF(OR($B215&lt;Einstellungen!$B$3,$C215&gt;Einstellungen!$B$4),"Teils außerhalb des Planungsjahres","ok"))))))</f>
        <v/>
      </c>
      <c r="J215" s="14"/>
    </row>
    <row r="216" customFormat="false" ht="15" hidden="false" customHeight="false" outlineLevel="0" collapsed="false">
      <c r="A216" s="15"/>
      <c r="B216" s="14"/>
      <c r="C216" s="14"/>
      <c r="D216" s="15"/>
      <c r="E216" s="15"/>
      <c r="F216" s="12" t="str">
        <f aca="false">IF($A216="","",IFERROR(INDEX(Team!$B$5:$B$64,MATCH($A216,Team!$A$5:$A$64,0)),"?"))</f>
        <v/>
      </c>
      <c r="G216" s="13" t="str">
        <f aca="false">IF($A216="","",COUNTIF($A$6:$A216,$A216)&amp;". Wunsch")</f>
        <v/>
      </c>
      <c r="H216" s="13" t="str">
        <f aca="false">IF(OR($A216="",$B216="",$C216="",$C216&lt;$B216),"",NETWORKDAYS($B216,$C216,Einstellungen!$N$7:$N$40))</f>
        <v/>
      </c>
      <c r="I216" s="12" t="str">
        <f aca="false">IF($A216="","",IF(OR($B216="",$C216=""),"Von und Bis eintragen",IF($C216&lt;$B216,"Bis liegt vor Von",IF(ISNA(MATCH($A216,Team!$A$5:$A$64,0)),"Name fehlt im Blatt Team",IF(COUNTIFS($A$6:$A$605,$A216,$B$6:$B$605,"&lt;="&amp;$C216,$C$6:$C$605,"&gt;="&amp;$B216)&gt;1,"Überschneidet sich mit eigenem Wunsch",IF(OR($B216&lt;Einstellungen!$B$3,$C216&gt;Einstellungen!$B$4),"Teils außerhalb des Planungsjahres","ok"))))))</f>
        <v/>
      </c>
      <c r="J216" s="14"/>
    </row>
    <row r="217" customFormat="false" ht="15" hidden="false" customHeight="false" outlineLevel="0" collapsed="false">
      <c r="A217" s="15"/>
      <c r="B217" s="14"/>
      <c r="C217" s="14"/>
      <c r="D217" s="15"/>
      <c r="E217" s="15"/>
      <c r="F217" s="12" t="str">
        <f aca="false">IF($A217="","",IFERROR(INDEX(Team!$B$5:$B$64,MATCH($A217,Team!$A$5:$A$64,0)),"?"))</f>
        <v/>
      </c>
      <c r="G217" s="13" t="str">
        <f aca="false">IF($A217="","",COUNTIF($A$6:$A217,$A217)&amp;". Wunsch")</f>
        <v/>
      </c>
      <c r="H217" s="13" t="str">
        <f aca="false">IF(OR($A217="",$B217="",$C217="",$C217&lt;$B217),"",NETWORKDAYS($B217,$C217,Einstellungen!$N$7:$N$40))</f>
        <v/>
      </c>
      <c r="I217" s="12" t="str">
        <f aca="false">IF($A217="","",IF(OR($B217="",$C217=""),"Von und Bis eintragen",IF($C217&lt;$B217,"Bis liegt vor Von",IF(ISNA(MATCH($A217,Team!$A$5:$A$64,0)),"Name fehlt im Blatt Team",IF(COUNTIFS($A$6:$A$605,$A217,$B$6:$B$605,"&lt;="&amp;$C217,$C$6:$C$605,"&gt;="&amp;$B217)&gt;1,"Überschneidet sich mit eigenem Wunsch",IF(OR($B217&lt;Einstellungen!$B$3,$C217&gt;Einstellungen!$B$4),"Teils außerhalb des Planungsjahres","ok"))))))</f>
        <v/>
      </c>
      <c r="J217" s="14"/>
    </row>
    <row r="218" customFormat="false" ht="15" hidden="false" customHeight="false" outlineLevel="0" collapsed="false">
      <c r="A218" s="15"/>
      <c r="B218" s="14"/>
      <c r="C218" s="14"/>
      <c r="D218" s="15"/>
      <c r="E218" s="15"/>
      <c r="F218" s="12" t="str">
        <f aca="false">IF($A218="","",IFERROR(INDEX(Team!$B$5:$B$64,MATCH($A218,Team!$A$5:$A$64,0)),"?"))</f>
        <v/>
      </c>
      <c r="G218" s="13" t="str">
        <f aca="false">IF($A218="","",COUNTIF($A$6:$A218,$A218)&amp;". Wunsch")</f>
        <v/>
      </c>
      <c r="H218" s="13" t="str">
        <f aca="false">IF(OR($A218="",$B218="",$C218="",$C218&lt;$B218),"",NETWORKDAYS($B218,$C218,Einstellungen!$N$7:$N$40))</f>
        <v/>
      </c>
      <c r="I218" s="12" t="str">
        <f aca="false">IF($A218="","",IF(OR($B218="",$C218=""),"Von und Bis eintragen",IF($C218&lt;$B218,"Bis liegt vor Von",IF(ISNA(MATCH($A218,Team!$A$5:$A$64,0)),"Name fehlt im Blatt Team",IF(COUNTIFS($A$6:$A$605,$A218,$B$6:$B$605,"&lt;="&amp;$C218,$C$6:$C$605,"&gt;="&amp;$B218)&gt;1,"Überschneidet sich mit eigenem Wunsch",IF(OR($B218&lt;Einstellungen!$B$3,$C218&gt;Einstellungen!$B$4),"Teils außerhalb des Planungsjahres","ok"))))))</f>
        <v/>
      </c>
      <c r="J218" s="14"/>
    </row>
    <row r="219" customFormat="false" ht="15" hidden="false" customHeight="false" outlineLevel="0" collapsed="false">
      <c r="A219" s="15"/>
      <c r="B219" s="14"/>
      <c r="C219" s="14"/>
      <c r="D219" s="15"/>
      <c r="E219" s="15"/>
      <c r="F219" s="12" t="str">
        <f aca="false">IF($A219="","",IFERROR(INDEX(Team!$B$5:$B$64,MATCH($A219,Team!$A$5:$A$64,0)),"?"))</f>
        <v/>
      </c>
      <c r="G219" s="13" t="str">
        <f aca="false">IF($A219="","",COUNTIF($A$6:$A219,$A219)&amp;". Wunsch")</f>
        <v/>
      </c>
      <c r="H219" s="13" t="str">
        <f aca="false">IF(OR($A219="",$B219="",$C219="",$C219&lt;$B219),"",NETWORKDAYS($B219,$C219,Einstellungen!$N$7:$N$40))</f>
        <v/>
      </c>
      <c r="I219" s="12" t="str">
        <f aca="false">IF($A219="","",IF(OR($B219="",$C219=""),"Von und Bis eintragen",IF($C219&lt;$B219,"Bis liegt vor Von",IF(ISNA(MATCH($A219,Team!$A$5:$A$64,0)),"Name fehlt im Blatt Team",IF(COUNTIFS($A$6:$A$605,$A219,$B$6:$B$605,"&lt;="&amp;$C219,$C$6:$C$605,"&gt;="&amp;$B219)&gt;1,"Überschneidet sich mit eigenem Wunsch",IF(OR($B219&lt;Einstellungen!$B$3,$C219&gt;Einstellungen!$B$4),"Teils außerhalb des Planungsjahres","ok"))))))</f>
        <v/>
      </c>
      <c r="J219" s="14"/>
    </row>
    <row r="220" customFormat="false" ht="15" hidden="false" customHeight="false" outlineLevel="0" collapsed="false">
      <c r="A220" s="15"/>
      <c r="B220" s="14"/>
      <c r="C220" s="14"/>
      <c r="D220" s="15"/>
      <c r="E220" s="15"/>
      <c r="F220" s="12" t="str">
        <f aca="false">IF($A220="","",IFERROR(INDEX(Team!$B$5:$B$64,MATCH($A220,Team!$A$5:$A$64,0)),"?"))</f>
        <v/>
      </c>
      <c r="G220" s="13" t="str">
        <f aca="false">IF($A220="","",COUNTIF($A$6:$A220,$A220)&amp;". Wunsch")</f>
        <v/>
      </c>
      <c r="H220" s="13" t="str">
        <f aca="false">IF(OR($A220="",$B220="",$C220="",$C220&lt;$B220),"",NETWORKDAYS($B220,$C220,Einstellungen!$N$7:$N$40))</f>
        <v/>
      </c>
      <c r="I220" s="12" t="str">
        <f aca="false">IF($A220="","",IF(OR($B220="",$C220=""),"Von und Bis eintragen",IF($C220&lt;$B220,"Bis liegt vor Von",IF(ISNA(MATCH($A220,Team!$A$5:$A$64,0)),"Name fehlt im Blatt Team",IF(COUNTIFS($A$6:$A$605,$A220,$B$6:$B$605,"&lt;="&amp;$C220,$C$6:$C$605,"&gt;="&amp;$B220)&gt;1,"Überschneidet sich mit eigenem Wunsch",IF(OR($B220&lt;Einstellungen!$B$3,$C220&gt;Einstellungen!$B$4),"Teils außerhalb des Planungsjahres","ok"))))))</f>
        <v/>
      </c>
      <c r="J220" s="14"/>
    </row>
    <row r="221" customFormat="false" ht="15" hidden="false" customHeight="false" outlineLevel="0" collapsed="false">
      <c r="A221" s="15"/>
      <c r="B221" s="14"/>
      <c r="C221" s="14"/>
      <c r="D221" s="15"/>
      <c r="E221" s="15"/>
      <c r="F221" s="12" t="str">
        <f aca="false">IF($A221="","",IFERROR(INDEX(Team!$B$5:$B$64,MATCH($A221,Team!$A$5:$A$64,0)),"?"))</f>
        <v/>
      </c>
      <c r="G221" s="13" t="str">
        <f aca="false">IF($A221="","",COUNTIF($A$6:$A221,$A221)&amp;". Wunsch")</f>
        <v/>
      </c>
      <c r="H221" s="13" t="str">
        <f aca="false">IF(OR($A221="",$B221="",$C221="",$C221&lt;$B221),"",NETWORKDAYS($B221,$C221,Einstellungen!$N$7:$N$40))</f>
        <v/>
      </c>
      <c r="I221" s="12" t="str">
        <f aca="false">IF($A221="","",IF(OR($B221="",$C221=""),"Von und Bis eintragen",IF($C221&lt;$B221,"Bis liegt vor Von",IF(ISNA(MATCH($A221,Team!$A$5:$A$64,0)),"Name fehlt im Blatt Team",IF(COUNTIFS($A$6:$A$605,$A221,$B$6:$B$605,"&lt;="&amp;$C221,$C$6:$C$605,"&gt;="&amp;$B221)&gt;1,"Überschneidet sich mit eigenem Wunsch",IF(OR($B221&lt;Einstellungen!$B$3,$C221&gt;Einstellungen!$B$4),"Teils außerhalb des Planungsjahres","ok"))))))</f>
        <v/>
      </c>
      <c r="J221" s="14"/>
    </row>
    <row r="222" customFormat="false" ht="15" hidden="false" customHeight="false" outlineLevel="0" collapsed="false">
      <c r="A222" s="15"/>
      <c r="B222" s="14"/>
      <c r="C222" s="14"/>
      <c r="D222" s="15"/>
      <c r="E222" s="15"/>
      <c r="F222" s="12" t="str">
        <f aca="false">IF($A222="","",IFERROR(INDEX(Team!$B$5:$B$64,MATCH($A222,Team!$A$5:$A$64,0)),"?"))</f>
        <v/>
      </c>
      <c r="G222" s="13" t="str">
        <f aca="false">IF($A222="","",COUNTIF($A$6:$A222,$A222)&amp;". Wunsch")</f>
        <v/>
      </c>
      <c r="H222" s="13" t="str">
        <f aca="false">IF(OR($A222="",$B222="",$C222="",$C222&lt;$B222),"",NETWORKDAYS($B222,$C222,Einstellungen!$N$7:$N$40))</f>
        <v/>
      </c>
      <c r="I222" s="12" t="str">
        <f aca="false">IF($A222="","",IF(OR($B222="",$C222=""),"Von und Bis eintragen",IF($C222&lt;$B222,"Bis liegt vor Von",IF(ISNA(MATCH($A222,Team!$A$5:$A$64,0)),"Name fehlt im Blatt Team",IF(COUNTIFS($A$6:$A$605,$A222,$B$6:$B$605,"&lt;="&amp;$C222,$C$6:$C$605,"&gt;="&amp;$B222)&gt;1,"Überschneidet sich mit eigenem Wunsch",IF(OR($B222&lt;Einstellungen!$B$3,$C222&gt;Einstellungen!$B$4),"Teils außerhalb des Planungsjahres","ok"))))))</f>
        <v/>
      </c>
      <c r="J222" s="14"/>
    </row>
    <row r="223" customFormat="false" ht="15" hidden="false" customHeight="false" outlineLevel="0" collapsed="false">
      <c r="A223" s="15"/>
      <c r="B223" s="14"/>
      <c r="C223" s="14"/>
      <c r="D223" s="15"/>
      <c r="E223" s="15"/>
      <c r="F223" s="12" t="str">
        <f aca="false">IF($A223="","",IFERROR(INDEX(Team!$B$5:$B$64,MATCH($A223,Team!$A$5:$A$64,0)),"?"))</f>
        <v/>
      </c>
      <c r="G223" s="13" t="str">
        <f aca="false">IF($A223="","",COUNTIF($A$6:$A223,$A223)&amp;". Wunsch")</f>
        <v/>
      </c>
      <c r="H223" s="13" t="str">
        <f aca="false">IF(OR($A223="",$B223="",$C223="",$C223&lt;$B223),"",NETWORKDAYS($B223,$C223,Einstellungen!$N$7:$N$40))</f>
        <v/>
      </c>
      <c r="I223" s="12" t="str">
        <f aca="false">IF($A223="","",IF(OR($B223="",$C223=""),"Von und Bis eintragen",IF($C223&lt;$B223,"Bis liegt vor Von",IF(ISNA(MATCH($A223,Team!$A$5:$A$64,0)),"Name fehlt im Blatt Team",IF(COUNTIFS($A$6:$A$605,$A223,$B$6:$B$605,"&lt;="&amp;$C223,$C$6:$C$605,"&gt;="&amp;$B223)&gt;1,"Überschneidet sich mit eigenem Wunsch",IF(OR($B223&lt;Einstellungen!$B$3,$C223&gt;Einstellungen!$B$4),"Teils außerhalb des Planungsjahres","ok"))))))</f>
        <v/>
      </c>
      <c r="J223" s="14"/>
    </row>
    <row r="224" customFormat="false" ht="15" hidden="false" customHeight="false" outlineLevel="0" collapsed="false">
      <c r="A224" s="15"/>
      <c r="B224" s="14"/>
      <c r="C224" s="14"/>
      <c r="D224" s="15"/>
      <c r="E224" s="15"/>
      <c r="F224" s="12" t="str">
        <f aca="false">IF($A224="","",IFERROR(INDEX(Team!$B$5:$B$64,MATCH($A224,Team!$A$5:$A$64,0)),"?"))</f>
        <v/>
      </c>
      <c r="G224" s="13" t="str">
        <f aca="false">IF($A224="","",COUNTIF($A$6:$A224,$A224)&amp;". Wunsch")</f>
        <v/>
      </c>
      <c r="H224" s="13" t="str">
        <f aca="false">IF(OR($A224="",$B224="",$C224="",$C224&lt;$B224),"",NETWORKDAYS($B224,$C224,Einstellungen!$N$7:$N$40))</f>
        <v/>
      </c>
      <c r="I224" s="12" t="str">
        <f aca="false">IF($A224="","",IF(OR($B224="",$C224=""),"Von und Bis eintragen",IF($C224&lt;$B224,"Bis liegt vor Von",IF(ISNA(MATCH($A224,Team!$A$5:$A$64,0)),"Name fehlt im Blatt Team",IF(COUNTIFS($A$6:$A$605,$A224,$B$6:$B$605,"&lt;="&amp;$C224,$C$6:$C$605,"&gt;="&amp;$B224)&gt;1,"Überschneidet sich mit eigenem Wunsch",IF(OR($B224&lt;Einstellungen!$B$3,$C224&gt;Einstellungen!$B$4),"Teils außerhalb des Planungsjahres","ok"))))))</f>
        <v/>
      </c>
      <c r="J224" s="14"/>
    </row>
    <row r="225" customFormat="false" ht="15" hidden="false" customHeight="false" outlineLevel="0" collapsed="false">
      <c r="A225" s="15"/>
      <c r="B225" s="14"/>
      <c r="C225" s="14"/>
      <c r="D225" s="15"/>
      <c r="E225" s="15"/>
      <c r="F225" s="12" t="str">
        <f aca="false">IF($A225="","",IFERROR(INDEX(Team!$B$5:$B$64,MATCH($A225,Team!$A$5:$A$64,0)),"?"))</f>
        <v/>
      </c>
      <c r="G225" s="13" t="str">
        <f aca="false">IF($A225="","",COUNTIF($A$6:$A225,$A225)&amp;". Wunsch")</f>
        <v/>
      </c>
      <c r="H225" s="13" t="str">
        <f aca="false">IF(OR($A225="",$B225="",$C225="",$C225&lt;$B225),"",NETWORKDAYS($B225,$C225,Einstellungen!$N$7:$N$40))</f>
        <v/>
      </c>
      <c r="I225" s="12" t="str">
        <f aca="false">IF($A225="","",IF(OR($B225="",$C225=""),"Von und Bis eintragen",IF($C225&lt;$B225,"Bis liegt vor Von",IF(ISNA(MATCH($A225,Team!$A$5:$A$64,0)),"Name fehlt im Blatt Team",IF(COUNTIFS($A$6:$A$605,$A225,$B$6:$B$605,"&lt;="&amp;$C225,$C$6:$C$605,"&gt;="&amp;$B225)&gt;1,"Überschneidet sich mit eigenem Wunsch",IF(OR($B225&lt;Einstellungen!$B$3,$C225&gt;Einstellungen!$B$4),"Teils außerhalb des Planungsjahres","ok"))))))</f>
        <v/>
      </c>
      <c r="J225" s="14"/>
    </row>
    <row r="226" customFormat="false" ht="15" hidden="false" customHeight="false" outlineLevel="0" collapsed="false">
      <c r="A226" s="15"/>
      <c r="B226" s="14"/>
      <c r="C226" s="14"/>
      <c r="D226" s="15"/>
      <c r="E226" s="15"/>
      <c r="F226" s="12" t="str">
        <f aca="false">IF($A226="","",IFERROR(INDEX(Team!$B$5:$B$64,MATCH($A226,Team!$A$5:$A$64,0)),"?"))</f>
        <v/>
      </c>
      <c r="G226" s="13" t="str">
        <f aca="false">IF($A226="","",COUNTIF($A$6:$A226,$A226)&amp;". Wunsch")</f>
        <v/>
      </c>
      <c r="H226" s="13" t="str">
        <f aca="false">IF(OR($A226="",$B226="",$C226="",$C226&lt;$B226),"",NETWORKDAYS($B226,$C226,Einstellungen!$N$7:$N$40))</f>
        <v/>
      </c>
      <c r="I226" s="12" t="str">
        <f aca="false">IF($A226="","",IF(OR($B226="",$C226=""),"Von und Bis eintragen",IF($C226&lt;$B226,"Bis liegt vor Von",IF(ISNA(MATCH($A226,Team!$A$5:$A$64,0)),"Name fehlt im Blatt Team",IF(COUNTIFS($A$6:$A$605,$A226,$B$6:$B$605,"&lt;="&amp;$C226,$C$6:$C$605,"&gt;="&amp;$B226)&gt;1,"Überschneidet sich mit eigenem Wunsch",IF(OR($B226&lt;Einstellungen!$B$3,$C226&gt;Einstellungen!$B$4),"Teils außerhalb des Planungsjahres","ok"))))))</f>
        <v/>
      </c>
      <c r="J226" s="14"/>
    </row>
    <row r="227" customFormat="false" ht="15" hidden="false" customHeight="false" outlineLevel="0" collapsed="false">
      <c r="A227" s="15"/>
      <c r="B227" s="14"/>
      <c r="C227" s="14"/>
      <c r="D227" s="15"/>
      <c r="E227" s="15"/>
      <c r="F227" s="12" t="str">
        <f aca="false">IF($A227="","",IFERROR(INDEX(Team!$B$5:$B$64,MATCH($A227,Team!$A$5:$A$64,0)),"?"))</f>
        <v/>
      </c>
      <c r="G227" s="13" t="str">
        <f aca="false">IF($A227="","",COUNTIF($A$6:$A227,$A227)&amp;". Wunsch")</f>
        <v/>
      </c>
      <c r="H227" s="13" t="str">
        <f aca="false">IF(OR($A227="",$B227="",$C227="",$C227&lt;$B227),"",NETWORKDAYS($B227,$C227,Einstellungen!$N$7:$N$40))</f>
        <v/>
      </c>
      <c r="I227" s="12" t="str">
        <f aca="false">IF($A227="","",IF(OR($B227="",$C227=""),"Von und Bis eintragen",IF($C227&lt;$B227,"Bis liegt vor Von",IF(ISNA(MATCH($A227,Team!$A$5:$A$64,0)),"Name fehlt im Blatt Team",IF(COUNTIFS($A$6:$A$605,$A227,$B$6:$B$605,"&lt;="&amp;$C227,$C$6:$C$605,"&gt;="&amp;$B227)&gt;1,"Überschneidet sich mit eigenem Wunsch",IF(OR($B227&lt;Einstellungen!$B$3,$C227&gt;Einstellungen!$B$4),"Teils außerhalb des Planungsjahres","ok"))))))</f>
        <v/>
      </c>
      <c r="J227" s="14"/>
    </row>
    <row r="228" customFormat="false" ht="15" hidden="false" customHeight="false" outlineLevel="0" collapsed="false">
      <c r="A228" s="15"/>
      <c r="B228" s="14"/>
      <c r="C228" s="14"/>
      <c r="D228" s="15"/>
      <c r="E228" s="15"/>
      <c r="F228" s="12" t="str">
        <f aca="false">IF($A228="","",IFERROR(INDEX(Team!$B$5:$B$64,MATCH($A228,Team!$A$5:$A$64,0)),"?"))</f>
        <v/>
      </c>
      <c r="G228" s="13" t="str">
        <f aca="false">IF($A228="","",COUNTIF($A$6:$A228,$A228)&amp;". Wunsch")</f>
        <v/>
      </c>
      <c r="H228" s="13" t="str">
        <f aca="false">IF(OR($A228="",$B228="",$C228="",$C228&lt;$B228),"",NETWORKDAYS($B228,$C228,Einstellungen!$N$7:$N$40))</f>
        <v/>
      </c>
      <c r="I228" s="12" t="str">
        <f aca="false">IF($A228="","",IF(OR($B228="",$C228=""),"Von und Bis eintragen",IF($C228&lt;$B228,"Bis liegt vor Von",IF(ISNA(MATCH($A228,Team!$A$5:$A$64,0)),"Name fehlt im Blatt Team",IF(COUNTIFS($A$6:$A$605,$A228,$B$6:$B$605,"&lt;="&amp;$C228,$C$6:$C$605,"&gt;="&amp;$B228)&gt;1,"Überschneidet sich mit eigenem Wunsch",IF(OR($B228&lt;Einstellungen!$B$3,$C228&gt;Einstellungen!$B$4),"Teils außerhalb des Planungsjahres","ok"))))))</f>
        <v/>
      </c>
      <c r="J228" s="14"/>
    </row>
    <row r="229" customFormat="false" ht="15" hidden="false" customHeight="false" outlineLevel="0" collapsed="false">
      <c r="A229" s="15"/>
      <c r="B229" s="14"/>
      <c r="C229" s="14"/>
      <c r="D229" s="15"/>
      <c r="E229" s="15"/>
      <c r="F229" s="12" t="str">
        <f aca="false">IF($A229="","",IFERROR(INDEX(Team!$B$5:$B$64,MATCH($A229,Team!$A$5:$A$64,0)),"?"))</f>
        <v/>
      </c>
      <c r="G229" s="13" t="str">
        <f aca="false">IF($A229="","",COUNTIF($A$6:$A229,$A229)&amp;". Wunsch")</f>
        <v/>
      </c>
      <c r="H229" s="13" t="str">
        <f aca="false">IF(OR($A229="",$B229="",$C229="",$C229&lt;$B229),"",NETWORKDAYS($B229,$C229,Einstellungen!$N$7:$N$40))</f>
        <v/>
      </c>
      <c r="I229" s="12" t="str">
        <f aca="false">IF($A229="","",IF(OR($B229="",$C229=""),"Von und Bis eintragen",IF($C229&lt;$B229,"Bis liegt vor Von",IF(ISNA(MATCH($A229,Team!$A$5:$A$64,0)),"Name fehlt im Blatt Team",IF(COUNTIFS($A$6:$A$605,$A229,$B$6:$B$605,"&lt;="&amp;$C229,$C$6:$C$605,"&gt;="&amp;$B229)&gt;1,"Überschneidet sich mit eigenem Wunsch",IF(OR($B229&lt;Einstellungen!$B$3,$C229&gt;Einstellungen!$B$4),"Teils außerhalb des Planungsjahres","ok"))))))</f>
        <v/>
      </c>
      <c r="J229" s="14"/>
    </row>
    <row r="230" customFormat="false" ht="15" hidden="false" customHeight="false" outlineLevel="0" collapsed="false">
      <c r="A230" s="15"/>
      <c r="B230" s="14"/>
      <c r="C230" s="14"/>
      <c r="D230" s="15"/>
      <c r="E230" s="15"/>
      <c r="F230" s="12" t="str">
        <f aca="false">IF($A230="","",IFERROR(INDEX(Team!$B$5:$B$64,MATCH($A230,Team!$A$5:$A$64,0)),"?"))</f>
        <v/>
      </c>
      <c r="G230" s="13" t="str">
        <f aca="false">IF($A230="","",COUNTIF($A$6:$A230,$A230)&amp;". Wunsch")</f>
        <v/>
      </c>
      <c r="H230" s="13" t="str">
        <f aca="false">IF(OR($A230="",$B230="",$C230="",$C230&lt;$B230),"",NETWORKDAYS($B230,$C230,Einstellungen!$N$7:$N$40))</f>
        <v/>
      </c>
      <c r="I230" s="12" t="str">
        <f aca="false">IF($A230="","",IF(OR($B230="",$C230=""),"Von und Bis eintragen",IF($C230&lt;$B230,"Bis liegt vor Von",IF(ISNA(MATCH($A230,Team!$A$5:$A$64,0)),"Name fehlt im Blatt Team",IF(COUNTIFS($A$6:$A$605,$A230,$B$6:$B$605,"&lt;="&amp;$C230,$C$6:$C$605,"&gt;="&amp;$B230)&gt;1,"Überschneidet sich mit eigenem Wunsch",IF(OR($B230&lt;Einstellungen!$B$3,$C230&gt;Einstellungen!$B$4),"Teils außerhalb des Planungsjahres","ok"))))))</f>
        <v/>
      </c>
      <c r="J230" s="14"/>
    </row>
    <row r="231" customFormat="false" ht="15" hidden="false" customHeight="false" outlineLevel="0" collapsed="false">
      <c r="A231" s="15"/>
      <c r="B231" s="14"/>
      <c r="C231" s="14"/>
      <c r="D231" s="15"/>
      <c r="E231" s="15"/>
      <c r="F231" s="12" t="str">
        <f aca="false">IF($A231="","",IFERROR(INDEX(Team!$B$5:$B$64,MATCH($A231,Team!$A$5:$A$64,0)),"?"))</f>
        <v/>
      </c>
      <c r="G231" s="13" t="str">
        <f aca="false">IF($A231="","",COUNTIF($A$6:$A231,$A231)&amp;". Wunsch")</f>
        <v/>
      </c>
      <c r="H231" s="13" t="str">
        <f aca="false">IF(OR($A231="",$B231="",$C231="",$C231&lt;$B231),"",NETWORKDAYS($B231,$C231,Einstellungen!$N$7:$N$40))</f>
        <v/>
      </c>
      <c r="I231" s="12" t="str">
        <f aca="false">IF($A231="","",IF(OR($B231="",$C231=""),"Von und Bis eintragen",IF($C231&lt;$B231,"Bis liegt vor Von",IF(ISNA(MATCH($A231,Team!$A$5:$A$64,0)),"Name fehlt im Blatt Team",IF(COUNTIFS($A$6:$A$605,$A231,$B$6:$B$605,"&lt;="&amp;$C231,$C$6:$C$605,"&gt;="&amp;$B231)&gt;1,"Überschneidet sich mit eigenem Wunsch",IF(OR($B231&lt;Einstellungen!$B$3,$C231&gt;Einstellungen!$B$4),"Teils außerhalb des Planungsjahres","ok"))))))</f>
        <v/>
      </c>
      <c r="J231" s="14"/>
    </row>
    <row r="232" customFormat="false" ht="15" hidden="false" customHeight="false" outlineLevel="0" collapsed="false">
      <c r="A232" s="15"/>
      <c r="B232" s="14"/>
      <c r="C232" s="14"/>
      <c r="D232" s="15"/>
      <c r="E232" s="15"/>
      <c r="F232" s="12" t="str">
        <f aca="false">IF($A232="","",IFERROR(INDEX(Team!$B$5:$B$64,MATCH($A232,Team!$A$5:$A$64,0)),"?"))</f>
        <v/>
      </c>
      <c r="G232" s="13" t="str">
        <f aca="false">IF($A232="","",COUNTIF($A$6:$A232,$A232)&amp;". Wunsch")</f>
        <v/>
      </c>
      <c r="H232" s="13" t="str">
        <f aca="false">IF(OR($A232="",$B232="",$C232="",$C232&lt;$B232),"",NETWORKDAYS($B232,$C232,Einstellungen!$N$7:$N$40))</f>
        <v/>
      </c>
      <c r="I232" s="12" t="str">
        <f aca="false">IF($A232="","",IF(OR($B232="",$C232=""),"Von und Bis eintragen",IF($C232&lt;$B232,"Bis liegt vor Von",IF(ISNA(MATCH($A232,Team!$A$5:$A$64,0)),"Name fehlt im Blatt Team",IF(COUNTIFS($A$6:$A$605,$A232,$B$6:$B$605,"&lt;="&amp;$C232,$C$6:$C$605,"&gt;="&amp;$B232)&gt;1,"Überschneidet sich mit eigenem Wunsch",IF(OR($B232&lt;Einstellungen!$B$3,$C232&gt;Einstellungen!$B$4),"Teils außerhalb des Planungsjahres","ok"))))))</f>
        <v/>
      </c>
      <c r="J232" s="14"/>
    </row>
    <row r="233" customFormat="false" ht="15" hidden="false" customHeight="false" outlineLevel="0" collapsed="false">
      <c r="A233" s="15"/>
      <c r="B233" s="14"/>
      <c r="C233" s="14"/>
      <c r="D233" s="15"/>
      <c r="E233" s="15"/>
      <c r="F233" s="12" t="str">
        <f aca="false">IF($A233="","",IFERROR(INDEX(Team!$B$5:$B$64,MATCH($A233,Team!$A$5:$A$64,0)),"?"))</f>
        <v/>
      </c>
      <c r="G233" s="13" t="str">
        <f aca="false">IF($A233="","",COUNTIF($A$6:$A233,$A233)&amp;". Wunsch")</f>
        <v/>
      </c>
      <c r="H233" s="13" t="str">
        <f aca="false">IF(OR($A233="",$B233="",$C233="",$C233&lt;$B233),"",NETWORKDAYS($B233,$C233,Einstellungen!$N$7:$N$40))</f>
        <v/>
      </c>
      <c r="I233" s="12" t="str">
        <f aca="false">IF($A233="","",IF(OR($B233="",$C233=""),"Von und Bis eintragen",IF($C233&lt;$B233,"Bis liegt vor Von",IF(ISNA(MATCH($A233,Team!$A$5:$A$64,0)),"Name fehlt im Blatt Team",IF(COUNTIFS($A$6:$A$605,$A233,$B$6:$B$605,"&lt;="&amp;$C233,$C$6:$C$605,"&gt;="&amp;$B233)&gt;1,"Überschneidet sich mit eigenem Wunsch",IF(OR($B233&lt;Einstellungen!$B$3,$C233&gt;Einstellungen!$B$4),"Teils außerhalb des Planungsjahres","ok"))))))</f>
        <v/>
      </c>
      <c r="J233" s="14"/>
    </row>
    <row r="234" customFormat="false" ht="15" hidden="false" customHeight="false" outlineLevel="0" collapsed="false">
      <c r="A234" s="15"/>
      <c r="B234" s="14"/>
      <c r="C234" s="14"/>
      <c r="D234" s="15"/>
      <c r="E234" s="15"/>
      <c r="F234" s="12" t="str">
        <f aca="false">IF($A234="","",IFERROR(INDEX(Team!$B$5:$B$64,MATCH($A234,Team!$A$5:$A$64,0)),"?"))</f>
        <v/>
      </c>
      <c r="G234" s="13" t="str">
        <f aca="false">IF($A234="","",COUNTIF($A$6:$A234,$A234)&amp;". Wunsch")</f>
        <v/>
      </c>
      <c r="H234" s="13" t="str">
        <f aca="false">IF(OR($A234="",$B234="",$C234="",$C234&lt;$B234),"",NETWORKDAYS($B234,$C234,Einstellungen!$N$7:$N$40))</f>
        <v/>
      </c>
      <c r="I234" s="12" t="str">
        <f aca="false">IF($A234="","",IF(OR($B234="",$C234=""),"Von und Bis eintragen",IF($C234&lt;$B234,"Bis liegt vor Von",IF(ISNA(MATCH($A234,Team!$A$5:$A$64,0)),"Name fehlt im Blatt Team",IF(COUNTIFS($A$6:$A$605,$A234,$B$6:$B$605,"&lt;="&amp;$C234,$C$6:$C$605,"&gt;="&amp;$B234)&gt;1,"Überschneidet sich mit eigenem Wunsch",IF(OR($B234&lt;Einstellungen!$B$3,$C234&gt;Einstellungen!$B$4),"Teils außerhalb des Planungsjahres","ok"))))))</f>
        <v/>
      </c>
      <c r="J234" s="14"/>
    </row>
    <row r="235" customFormat="false" ht="15" hidden="false" customHeight="false" outlineLevel="0" collapsed="false">
      <c r="A235" s="15"/>
      <c r="B235" s="14"/>
      <c r="C235" s="14"/>
      <c r="D235" s="15"/>
      <c r="E235" s="15"/>
      <c r="F235" s="12" t="str">
        <f aca="false">IF($A235="","",IFERROR(INDEX(Team!$B$5:$B$64,MATCH($A235,Team!$A$5:$A$64,0)),"?"))</f>
        <v/>
      </c>
      <c r="G235" s="13" t="str">
        <f aca="false">IF($A235="","",COUNTIF($A$6:$A235,$A235)&amp;". Wunsch")</f>
        <v/>
      </c>
      <c r="H235" s="13" t="str">
        <f aca="false">IF(OR($A235="",$B235="",$C235="",$C235&lt;$B235),"",NETWORKDAYS($B235,$C235,Einstellungen!$N$7:$N$40))</f>
        <v/>
      </c>
      <c r="I235" s="12" t="str">
        <f aca="false">IF($A235="","",IF(OR($B235="",$C235=""),"Von und Bis eintragen",IF($C235&lt;$B235,"Bis liegt vor Von",IF(ISNA(MATCH($A235,Team!$A$5:$A$64,0)),"Name fehlt im Blatt Team",IF(COUNTIFS($A$6:$A$605,$A235,$B$6:$B$605,"&lt;="&amp;$C235,$C$6:$C$605,"&gt;="&amp;$B235)&gt;1,"Überschneidet sich mit eigenem Wunsch",IF(OR($B235&lt;Einstellungen!$B$3,$C235&gt;Einstellungen!$B$4),"Teils außerhalb des Planungsjahres","ok"))))))</f>
        <v/>
      </c>
      <c r="J235" s="14"/>
    </row>
    <row r="236" customFormat="false" ht="15" hidden="false" customHeight="false" outlineLevel="0" collapsed="false">
      <c r="A236" s="15"/>
      <c r="B236" s="14"/>
      <c r="C236" s="14"/>
      <c r="D236" s="15"/>
      <c r="E236" s="15"/>
      <c r="F236" s="12" t="str">
        <f aca="false">IF($A236="","",IFERROR(INDEX(Team!$B$5:$B$64,MATCH($A236,Team!$A$5:$A$64,0)),"?"))</f>
        <v/>
      </c>
      <c r="G236" s="13" t="str">
        <f aca="false">IF($A236="","",COUNTIF($A$6:$A236,$A236)&amp;". Wunsch")</f>
        <v/>
      </c>
      <c r="H236" s="13" t="str">
        <f aca="false">IF(OR($A236="",$B236="",$C236="",$C236&lt;$B236),"",NETWORKDAYS($B236,$C236,Einstellungen!$N$7:$N$40))</f>
        <v/>
      </c>
      <c r="I236" s="12" t="str">
        <f aca="false">IF($A236="","",IF(OR($B236="",$C236=""),"Von und Bis eintragen",IF($C236&lt;$B236,"Bis liegt vor Von",IF(ISNA(MATCH($A236,Team!$A$5:$A$64,0)),"Name fehlt im Blatt Team",IF(COUNTIFS($A$6:$A$605,$A236,$B$6:$B$605,"&lt;="&amp;$C236,$C$6:$C$605,"&gt;="&amp;$B236)&gt;1,"Überschneidet sich mit eigenem Wunsch",IF(OR($B236&lt;Einstellungen!$B$3,$C236&gt;Einstellungen!$B$4),"Teils außerhalb des Planungsjahres","ok"))))))</f>
        <v/>
      </c>
      <c r="J236" s="14"/>
    </row>
    <row r="237" customFormat="false" ht="15" hidden="false" customHeight="false" outlineLevel="0" collapsed="false">
      <c r="A237" s="15"/>
      <c r="B237" s="14"/>
      <c r="C237" s="14"/>
      <c r="D237" s="15"/>
      <c r="E237" s="15"/>
      <c r="F237" s="12" t="str">
        <f aca="false">IF($A237="","",IFERROR(INDEX(Team!$B$5:$B$64,MATCH($A237,Team!$A$5:$A$64,0)),"?"))</f>
        <v/>
      </c>
      <c r="G237" s="13" t="str">
        <f aca="false">IF($A237="","",COUNTIF($A$6:$A237,$A237)&amp;". Wunsch")</f>
        <v/>
      </c>
      <c r="H237" s="13" t="str">
        <f aca="false">IF(OR($A237="",$B237="",$C237="",$C237&lt;$B237),"",NETWORKDAYS($B237,$C237,Einstellungen!$N$7:$N$40))</f>
        <v/>
      </c>
      <c r="I237" s="12" t="str">
        <f aca="false">IF($A237="","",IF(OR($B237="",$C237=""),"Von und Bis eintragen",IF($C237&lt;$B237,"Bis liegt vor Von",IF(ISNA(MATCH($A237,Team!$A$5:$A$64,0)),"Name fehlt im Blatt Team",IF(COUNTIFS($A$6:$A$605,$A237,$B$6:$B$605,"&lt;="&amp;$C237,$C$6:$C$605,"&gt;="&amp;$B237)&gt;1,"Überschneidet sich mit eigenem Wunsch",IF(OR($B237&lt;Einstellungen!$B$3,$C237&gt;Einstellungen!$B$4),"Teils außerhalb des Planungsjahres","ok"))))))</f>
        <v/>
      </c>
      <c r="J237" s="14"/>
    </row>
    <row r="238" customFormat="false" ht="15" hidden="false" customHeight="false" outlineLevel="0" collapsed="false">
      <c r="A238" s="15"/>
      <c r="B238" s="14"/>
      <c r="C238" s="14"/>
      <c r="D238" s="15"/>
      <c r="E238" s="15"/>
      <c r="F238" s="12" t="str">
        <f aca="false">IF($A238="","",IFERROR(INDEX(Team!$B$5:$B$64,MATCH($A238,Team!$A$5:$A$64,0)),"?"))</f>
        <v/>
      </c>
      <c r="G238" s="13" t="str">
        <f aca="false">IF($A238="","",COUNTIF($A$6:$A238,$A238)&amp;". Wunsch")</f>
        <v/>
      </c>
      <c r="H238" s="13" t="str">
        <f aca="false">IF(OR($A238="",$B238="",$C238="",$C238&lt;$B238),"",NETWORKDAYS($B238,$C238,Einstellungen!$N$7:$N$40))</f>
        <v/>
      </c>
      <c r="I238" s="12" t="str">
        <f aca="false">IF($A238="","",IF(OR($B238="",$C238=""),"Von und Bis eintragen",IF($C238&lt;$B238,"Bis liegt vor Von",IF(ISNA(MATCH($A238,Team!$A$5:$A$64,0)),"Name fehlt im Blatt Team",IF(COUNTIFS($A$6:$A$605,$A238,$B$6:$B$605,"&lt;="&amp;$C238,$C$6:$C$605,"&gt;="&amp;$B238)&gt;1,"Überschneidet sich mit eigenem Wunsch",IF(OR($B238&lt;Einstellungen!$B$3,$C238&gt;Einstellungen!$B$4),"Teils außerhalb des Planungsjahres","ok"))))))</f>
        <v/>
      </c>
      <c r="J238" s="14"/>
    </row>
    <row r="239" customFormat="false" ht="15" hidden="false" customHeight="false" outlineLevel="0" collapsed="false">
      <c r="A239" s="15"/>
      <c r="B239" s="14"/>
      <c r="C239" s="14"/>
      <c r="D239" s="15"/>
      <c r="E239" s="15"/>
      <c r="F239" s="12" t="str">
        <f aca="false">IF($A239="","",IFERROR(INDEX(Team!$B$5:$B$64,MATCH($A239,Team!$A$5:$A$64,0)),"?"))</f>
        <v/>
      </c>
      <c r="G239" s="13" t="str">
        <f aca="false">IF($A239="","",COUNTIF($A$6:$A239,$A239)&amp;". Wunsch")</f>
        <v/>
      </c>
      <c r="H239" s="13" t="str">
        <f aca="false">IF(OR($A239="",$B239="",$C239="",$C239&lt;$B239),"",NETWORKDAYS($B239,$C239,Einstellungen!$N$7:$N$40))</f>
        <v/>
      </c>
      <c r="I239" s="12" t="str">
        <f aca="false">IF($A239="","",IF(OR($B239="",$C239=""),"Von und Bis eintragen",IF($C239&lt;$B239,"Bis liegt vor Von",IF(ISNA(MATCH($A239,Team!$A$5:$A$64,0)),"Name fehlt im Blatt Team",IF(COUNTIFS($A$6:$A$605,$A239,$B$6:$B$605,"&lt;="&amp;$C239,$C$6:$C$605,"&gt;="&amp;$B239)&gt;1,"Überschneidet sich mit eigenem Wunsch",IF(OR($B239&lt;Einstellungen!$B$3,$C239&gt;Einstellungen!$B$4),"Teils außerhalb des Planungsjahres","ok"))))))</f>
        <v/>
      </c>
      <c r="J239" s="14"/>
    </row>
    <row r="240" customFormat="false" ht="15" hidden="false" customHeight="false" outlineLevel="0" collapsed="false">
      <c r="A240" s="15"/>
      <c r="B240" s="14"/>
      <c r="C240" s="14"/>
      <c r="D240" s="15"/>
      <c r="E240" s="15"/>
      <c r="F240" s="12" t="str">
        <f aca="false">IF($A240="","",IFERROR(INDEX(Team!$B$5:$B$64,MATCH($A240,Team!$A$5:$A$64,0)),"?"))</f>
        <v/>
      </c>
      <c r="G240" s="13" t="str">
        <f aca="false">IF($A240="","",COUNTIF($A$6:$A240,$A240)&amp;". Wunsch")</f>
        <v/>
      </c>
      <c r="H240" s="13" t="str">
        <f aca="false">IF(OR($A240="",$B240="",$C240="",$C240&lt;$B240),"",NETWORKDAYS($B240,$C240,Einstellungen!$N$7:$N$40))</f>
        <v/>
      </c>
      <c r="I240" s="12" t="str">
        <f aca="false">IF($A240="","",IF(OR($B240="",$C240=""),"Von und Bis eintragen",IF($C240&lt;$B240,"Bis liegt vor Von",IF(ISNA(MATCH($A240,Team!$A$5:$A$64,0)),"Name fehlt im Blatt Team",IF(COUNTIFS($A$6:$A$605,$A240,$B$6:$B$605,"&lt;="&amp;$C240,$C$6:$C$605,"&gt;="&amp;$B240)&gt;1,"Überschneidet sich mit eigenem Wunsch",IF(OR($B240&lt;Einstellungen!$B$3,$C240&gt;Einstellungen!$B$4),"Teils außerhalb des Planungsjahres","ok"))))))</f>
        <v/>
      </c>
      <c r="J240" s="14"/>
    </row>
    <row r="241" customFormat="false" ht="15" hidden="false" customHeight="false" outlineLevel="0" collapsed="false">
      <c r="A241" s="15"/>
      <c r="B241" s="14"/>
      <c r="C241" s="14"/>
      <c r="D241" s="15"/>
      <c r="E241" s="15"/>
      <c r="F241" s="12" t="str">
        <f aca="false">IF($A241="","",IFERROR(INDEX(Team!$B$5:$B$64,MATCH($A241,Team!$A$5:$A$64,0)),"?"))</f>
        <v/>
      </c>
      <c r="G241" s="13" t="str">
        <f aca="false">IF($A241="","",COUNTIF($A$6:$A241,$A241)&amp;". Wunsch")</f>
        <v/>
      </c>
      <c r="H241" s="13" t="str">
        <f aca="false">IF(OR($A241="",$B241="",$C241="",$C241&lt;$B241),"",NETWORKDAYS($B241,$C241,Einstellungen!$N$7:$N$40))</f>
        <v/>
      </c>
      <c r="I241" s="12" t="str">
        <f aca="false">IF($A241="","",IF(OR($B241="",$C241=""),"Von und Bis eintragen",IF($C241&lt;$B241,"Bis liegt vor Von",IF(ISNA(MATCH($A241,Team!$A$5:$A$64,0)),"Name fehlt im Blatt Team",IF(COUNTIFS($A$6:$A$605,$A241,$B$6:$B$605,"&lt;="&amp;$C241,$C$6:$C$605,"&gt;="&amp;$B241)&gt;1,"Überschneidet sich mit eigenem Wunsch",IF(OR($B241&lt;Einstellungen!$B$3,$C241&gt;Einstellungen!$B$4),"Teils außerhalb des Planungsjahres","ok"))))))</f>
        <v/>
      </c>
      <c r="J241" s="14"/>
    </row>
    <row r="242" customFormat="false" ht="15" hidden="false" customHeight="false" outlineLevel="0" collapsed="false">
      <c r="A242" s="15"/>
      <c r="B242" s="14"/>
      <c r="C242" s="14"/>
      <c r="D242" s="15"/>
      <c r="E242" s="15"/>
      <c r="F242" s="12" t="str">
        <f aca="false">IF($A242="","",IFERROR(INDEX(Team!$B$5:$B$64,MATCH($A242,Team!$A$5:$A$64,0)),"?"))</f>
        <v/>
      </c>
      <c r="G242" s="13" t="str">
        <f aca="false">IF($A242="","",COUNTIF($A$6:$A242,$A242)&amp;". Wunsch")</f>
        <v/>
      </c>
      <c r="H242" s="13" t="str">
        <f aca="false">IF(OR($A242="",$B242="",$C242="",$C242&lt;$B242),"",NETWORKDAYS($B242,$C242,Einstellungen!$N$7:$N$40))</f>
        <v/>
      </c>
      <c r="I242" s="12" t="str">
        <f aca="false">IF($A242="","",IF(OR($B242="",$C242=""),"Von und Bis eintragen",IF($C242&lt;$B242,"Bis liegt vor Von",IF(ISNA(MATCH($A242,Team!$A$5:$A$64,0)),"Name fehlt im Blatt Team",IF(COUNTIFS($A$6:$A$605,$A242,$B$6:$B$605,"&lt;="&amp;$C242,$C$6:$C$605,"&gt;="&amp;$B242)&gt;1,"Überschneidet sich mit eigenem Wunsch",IF(OR($B242&lt;Einstellungen!$B$3,$C242&gt;Einstellungen!$B$4),"Teils außerhalb des Planungsjahres","ok"))))))</f>
        <v/>
      </c>
      <c r="J242" s="14"/>
    </row>
    <row r="243" customFormat="false" ht="15" hidden="false" customHeight="false" outlineLevel="0" collapsed="false">
      <c r="A243" s="15"/>
      <c r="B243" s="14"/>
      <c r="C243" s="14"/>
      <c r="D243" s="15"/>
      <c r="E243" s="15"/>
      <c r="F243" s="12" t="str">
        <f aca="false">IF($A243="","",IFERROR(INDEX(Team!$B$5:$B$64,MATCH($A243,Team!$A$5:$A$64,0)),"?"))</f>
        <v/>
      </c>
      <c r="G243" s="13" t="str">
        <f aca="false">IF($A243="","",COUNTIF($A$6:$A243,$A243)&amp;". Wunsch")</f>
        <v/>
      </c>
      <c r="H243" s="13" t="str">
        <f aca="false">IF(OR($A243="",$B243="",$C243="",$C243&lt;$B243),"",NETWORKDAYS($B243,$C243,Einstellungen!$N$7:$N$40))</f>
        <v/>
      </c>
      <c r="I243" s="12" t="str">
        <f aca="false">IF($A243="","",IF(OR($B243="",$C243=""),"Von und Bis eintragen",IF($C243&lt;$B243,"Bis liegt vor Von",IF(ISNA(MATCH($A243,Team!$A$5:$A$64,0)),"Name fehlt im Blatt Team",IF(COUNTIFS($A$6:$A$605,$A243,$B$6:$B$605,"&lt;="&amp;$C243,$C$6:$C$605,"&gt;="&amp;$B243)&gt;1,"Überschneidet sich mit eigenem Wunsch",IF(OR($B243&lt;Einstellungen!$B$3,$C243&gt;Einstellungen!$B$4),"Teils außerhalb des Planungsjahres","ok"))))))</f>
        <v/>
      </c>
      <c r="J243" s="14"/>
    </row>
    <row r="244" customFormat="false" ht="15" hidden="false" customHeight="false" outlineLevel="0" collapsed="false">
      <c r="A244" s="15"/>
      <c r="B244" s="14"/>
      <c r="C244" s="14"/>
      <c r="D244" s="15"/>
      <c r="E244" s="15"/>
      <c r="F244" s="12" t="str">
        <f aca="false">IF($A244="","",IFERROR(INDEX(Team!$B$5:$B$64,MATCH($A244,Team!$A$5:$A$64,0)),"?"))</f>
        <v/>
      </c>
      <c r="G244" s="13" t="str">
        <f aca="false">IF($A244="","",COUNTIF($A$6:$A244,$A244)&amp;". Wunsch")</f>
        <v/>
      </c>
      <c r="H244" s="13" t="str">
        <f aca="false">IF(OR($A244="",$B244="",$C244="",$C244&lt;$B244),"",NETWORKDAYS($B244,$C244,Einstellungen!$N$7:$N$40))</f>
        <v/>
      </c>
      <c r="I244" s="12" t="str">
        <f aca="false">IF($A244="","",IF(OR($B244="",$C244=""),"Von und Bis eintragen",IF($C244&lt;$B244,"Bis liegt vor Von",IF(ISNA(MATCH($A244,Team!$A$5:$A$64,0)),"Name fehlt im Blatt Team",IF(COUNTIFS($A$6:$A$605,$A244,$B$6:$B$605,"&lt;="&amp;$C244,$C$6:$C$605,"&gt;="&amp;$B244)&gt;1,"Überschneidet sich mit eigenem Wunsch",IF(OR($B244&lt;Einstellungen!$B$3,$C244&gt;Einstellungen!$B$4),"Teils außerhalb des Planungsjahres","ok"))))))</f>
        <v/>
      </c>
      <c r="J244" s="14"/>
    </row>
    <row r="245" customFormat="false" ht="15" hidden="false" customHeight="false" outlineLevel="0" collapsed="false">
      <c r="A245" s="15"/>
      <c r="B245" s="14"/>
      <c r="C245" s="14"/>
      <c r="D245" s="15"/>
      <c r="E245" s="15"/>
      <c r="F245" s="12" t="str">
        <f aca="false">IF($A245="","",IFERROR(INDEX(Team!$B$5:$B$64,MATCH($A245,Team!$A$5:$A$64,0)),"?"))</f>
        <v/>
      </c>
      <c r="G245" s="13" t="str">
        <f aca="false">IF($A245="","",COUNTIF($A$6:$A245,$A245)&amp;". Wunsch")</f>
        <v/>
      </c>
      <c r="H245" s="13" t="str">
        <f aca="false">IF(OR($A245="",$B245="",$C245="",$C245&lt;$B245),"",NETWORKDAYS($B245,$C245,Einstellungen!$N$7:$N$40))</f>
        <v/>
      </c>
      <c r="I245" s="12" t="str">
        <f aca="false">IF($A245="","",IF(OR($B245="",$C245=""),"Von und Bis eintragen",IF($C245&lt;$B245,"Bis liegt vor Von",IF(ISNA(MATCH($A245,Team!$A$5:$A$64,0)),"Name fehlt im Blatt Team",IF(COUNTIFS($A$6:$A$605,$A245,$B$6:$B$605,"&lt;="&amp;$C245,$C$6:$C$605,"&gt;="&amp;$B245)&gt;1,"Überschneidet sich mit eigenem Wunsch",IF(OR($B245&lt;Einstellungen!$B$3,$C245&gt;Einstellungen!$B$4),"Teils außerhalb des Planungsjahres","ok"))))))</f>
        <v/>
      </c>
      <c r="J245" s="14"/>
    </row>
    <row r="246" customFormat="false" ht="15" hidden="false" customHeight="false" outlineLevel="0" collapsed="false">
      <c r="A246" s="15"/>
      <c r="B246" s="14"/>
      <c r="C246" s="14"/>
      <c r="D246" s="15"/>
      <c r="E246" s="15"/>
      <c r="F246" s="12" t="str">
        <f aca="false">IF($A246="","",IFERROR(INDEX(Team!$B$5:$B$64,MATCH($A246,Team!$A$5:$A$64,0)),"?"))</f>
        <v/>
      </c>
      <c r="G246" s="13" t="str">
        <f aca="false">IF($A246="","",COUNTIF($A$6:$A246,$A246)&amp;". Wunsch")</f>
        <v/>
      </c>
      <c r="H246" s="13" t="str">
        <f aca="false">IF(OR($A246="",$B246="",$C246="",$C246&lt;$B246),"",NETWORKDAYS($B246,$C246,Einstellungen!$N$7:$N$40))</f>
        <v/>
      </c>
      <c r="I246" s="12" t="str">
        <f aca="false">IF($A246="","",IF(OR($B246="",$C246=""),"Von und Bis eintragen",IF($C246&lt;$B246,"Bis liegt vor Von",IF(ISNA(MATCH($A246,Team!$A$5:$A$64,0)),"Name fehlt im Blatt Team",IF(COUNTIFS($A$6:$A$605,$A246,$B$6:$B$605,"&lt;="&amp;$C246,$C$6:$C$605,"&gt;="&amp;$B246)&gt;1,"Überschneidet sich mit eigenem Wunsch",IF(OR($B246&lt;Einstellungen!$B$3,$C246&gt;Einstellungen!$B$4),"Teils außerhalb des Planungsjahres","ok"))))))</f>
        <v/>
      </c>
      <c r="J246" s="14"/>
    </row>
    <row r="247" customFormat="false" ht="15" hidden="false" customHeight="false" outlineLevel="0" collapsed="false">
      <c r="A247" s="15"/>
      <c r="B247" s="14"/>
      <c r="C247" s="14"/>
      <c r="D247" s="15"/>
      <c r="E247" s="15"/>
      <c r="F247" s="12" t="str">
        <f aca="false">IF($A247="","",IFERROR(INDEX(Team!$B$5:$B$64,MATCH($A247,Team!$A$5:$A$64,0)),"?"))</f>
        <v/>
      </c>
      <c r="G247" s="13" t="str">
        <f aca="false">IF($A247="","",COUNTIF($A$6:$A247,$A247)&amp;". Wunsch")</f>
        <v/>
      </c>
      <c r="H247" s="13" t="str">
        <f aca="false">IF(OR($A247="",$B247="",$C247="",$C247&lt;$B247),"",NETWORKDAYS($B247,$C247,Einstellungen!$N$7:$N$40))</f>
        <v/>
      </c>
      <c r="I247" s="12" t="str">
        <f aca="false">IF($A247="","",IF(OR($B247="",$C247=""),"Von und Bis eintragen",IF($C247&lt;$B247,"Bis liegt vor Von",IF(ISNA(MATCH($A247,Team!$A$5:$A$64,0)),"Name fehlt im Blatt Team",IF(COUNTIFS($A$6:$A$605,$A247,$B$6:$B$605,"&lt;="&amp;$C247,$C$6:$C$605,"&gt;="&amp;$B247)&gt;1,"Überschneidet sich mit eigenem Wunsch",IF(OR($B247&lt;Einstellungen!$B$3,$C247&gt;Einstellungen!$B$4),"Teils außerhalb des Planungsjahres","ok"))))))</f>
        <v/>
      </c>
      <c r="J247" s="14"/>
    </row>
    <row r="248" customFormat="false" ht="15" hidden="false" customHeight="false" outlineLevel="0" collapsed="false">
      <c r="A248" s="15"/>
      <c r="B248" s="14"/>
      <c r="C248" s="14"/>
      <c r="D248" s="15"/>
      <c r="E248" s="15"/>
      <c r="F248" s="12" t="str">
        <f aca="false">IF($A248="","",IFERROR(INDEX(Team!$B$5:$B$64,MATCH($A248,Team!$A$5:$A$64,0)),"?"))</f>
        <v/>
      </c>
      <c r="G248" s="13" t="str">
        <f aca="false">IF($A248="","",COUNTIF($A$6:$A248,$A248)&amp;". Wunsch")</f>
        <v/>
      </c>
      <c r="H248" s="13" t="str">
        <f aca="false">IF(OR($A248="",$B248="",$C248="",$C248&lt;$B248),"",NETWORKDAYS($B248,$C248,Einstellungen!$N$7:$N$40))</f>
        <v/>
      </c>
      <c r="I248" s="12" t="str">
        <f aca="false">IF($A248="","",IF(OR($B248="",$C248=""),"Von und Bis eintragen",IF($C248&lt;$B248,"Bis liegt vor Von",IF(ISNA(MATCH($A248,Team!$A$5:$A$64,0)),"Name fehlt im Blatt Team",IF(COUNTIFS($A$6:$A$605,$A248,$B$6:$B$605,"&lt;="&amp;$C248,$C$6:$C$605,"&gt;="&amp;$B248)&gt;1,"Überschneidet sich mit eigenem Wunsch",IF(OR($B248&lt;Einstellungen!$B$3,$C248&gt;Einstellungen!$B$4),"Teils außerhalb des Planungsjahres","ok"))))))</f>
        <v/>
      </c>
      <c r="J248" s="14"/>
    </row>
    <row r="249" customFormat="false" ht="15" hidden="false" customHeight="false" outlineLevel="0" collapsed="false">
      <c r="A249" s="15"/>
      <c r="B249" s="14"/>
      <c r="C249" s="14"/>
      <c r="D249" s="15"/>
      <c r="E249" s="15"/>
      <c r="F249" s="12" t="str">
        <f aca="false">IF($A249="","",IFERROR(INDEX(Team!$B$5:$B$64,MATCH($A249,Team!$A$5:$A$64,0)),"?"))</f>
        <v/>
      </c>
      <c r="G249" s="13" t="str">
        <f aca="false">IF($A249="","",COUNTIF($A$6:$A249,$A249)&amp;". Wunsch")</f>
        <v/>
      </c>
      <c r="H249" s="13" t="str">
        <f aca="false">IF(OR($A249="",$B249="",$C249="",$C249&lt;$B249),"",NETWORKDAYS($B249,$C249,Einstellungen!$N$7:$N$40))</f>
        <v/>
      </c>
      <c r="I249" s="12" t="str">
        <f aca="false">IF($A249="","",IF(OR($B249="",$C249=""),"Von und Bis eintragen",IF($C249&lt;$B249,"Bis liegt vor Von",IF(ISNA(MATCH($A249,Team!$A$5:$A$64,0)),"Name fehlt im Blatt Team",IF(COUNTIFS($A$6:$A$605,$A249,$B$6:$B$605,"&lt;="&amp;$C249,$C$6:$C$605,"&gt;="&amp;$B249)&gt;1,"Überschneidet sich mit eigenem Wunsch",IF(OR($B249&lt;Einstellungen!$B$3,$C249&gt;Einstellungen!$B$4),"Teils außerhalb des Planungsjahres","ok"))))))</f>
        <v/>
      </c>
      <c r="J249" s="14"/>
    </row>
    <row r="250" customFormat="false" ht="15" hidden="false" customHeight="false" outlineLevel="0" collapsed="false">
      <c r="A250" s="15"/>
      <c r="B250" s="14"/>
      <c r="C250" s="14"/>
      <c r="D250" s="15"/>
      <c r="E250" s="15"/>
      <c r="F250" s="12" t="str">
        <f aca="false">IF($A250="","",IFERROR(INDEX(Team!$B$5:$B$64,MATCH($A250,Team!$A$5:$A$64,0)),"?"))</f>
        <v/>
      </c>
      <c r="G250" s="13" t="str">
        <f aca="false">IF($A250="","",COUNTIF($A$6:$A250,$A250)&amp;". Wunsch")</f>
        <v/>
      </c>
      <c r="H250" s="13" t="str">
        <f aca="false">IF(OR($A250="",$B250="",$C250="",$C250&lt;$B250),"",NETWORKDAYS($B250,$C250,Einstellungen!$N$7:$N$40))</f>
        <v/>
      </c>
      <c r="I250" s="12" t="str">
        <f aca="false">IF($A250="","",IF(OR($B250="",$C250=""),"Von und Bis eintragen",IF($C250&lt;$B250,"Bis liegt vor Von",IF(ISNA(MATCH($A250,Team!$A$5:$A$64,0)),"Name fehlt im Blatt Team",IF(COUNTIFS($A$6:$A$605,$A250,$B$6:$B$605,"&lt;="&amp;$C250,$C$6:$C$605,"&gt;="&amp;$B250)&gt;1,"Überschneidet sich mit eigenem Wunsch",IF(OR($B250&lt;Einstellungen!$B$3,$C250&gt;Einstellungen!$B$4),"Teils außerhalb des Planungsjahres","ok"))))))</f>
        <v/>
      </c>
      <c r="J250" s="14"/>
    </row>
    <row r="251" customFormat="false" ht="15" hidden="false" customHeight="false" outlineLevel="0" collapsed="false">
      <c r="A251" s="15"/>
      <c r="B251" s="14"/>
      <c r="C251" s="14"/>
      <c r="D251" s="15"/>
      <c r="E251" s="15"/>
      <c r="F251" s="12" t="str">
        <f aca="false">IF($A251="","",IFERROR(INDEX(Team!$B$5:$B$64,MATCH($A251,Team!$A$5:$A$64,0)),"?"))</f>
        <v/>
      </c>
      <c r="G251" s="13" t="str">
        <f aca="false">IF($A251="","",COUNTIF($A$6:$A251,$A251)&amp;". Wunsch")</f>
        <v/>
      </c>
      <c r="H251" s="13" t="str">
        <f aca="false">IF(OR($A251="",$B251="",$C251="",$C251&lt;$B251),"",NETWORKDAYS($B251,$C251,Einstellungen!$N$7:$N$40))</f>
        <v/>
      </c>
      <c r="I251" s="12" t="str">
        <f aca="false">IF($A251="","",IF(OR($B251="",$C251=""),"Von und Bis eintragen",IF($C251&lt;$B251,"Bis liegt vor Von",IF(ISNA(MATCH($A251,Team!$A$5:$A$64,0)),"Name fehlt im Blatt Team",IF(COUNTIFS($A$6:$A$605,$A251,$B$6:$B$605,"&lt;="&amp;$C251,$C$6:$C$605,"&gt;="&amp;$B251)&gt;1,"Überschneidet sich mit eigenem Wunsch",IF(OR($B251&lt;Einstellungen!$B$3,$C251&gt;Einstellungen!$B$4),"Teils außerhalb des Planungsjahres","ok"))))))</f>
        <v/>
      </c>
      <c r="J251" s="14"/>
    </row>
    <row r="252" customFormat="false" ht="15" hidden="false" customHeight="false" outlineLevel="0" collapsed="false">
      <c r="A252" s="15"/>
      <c r="B252" s="14"/>
      <c r="C252" s="14"/>
      <c r="D252" s="15"/>
      <c r="E252" s="15"/>
      <c r="F252" s="12" t="str">
        <f aca="false">IF($A252="","",IFERROR(INDEX(Team!$B$5:$B$64,MATCH($A252,Team!$A$5:$A$64,0)),"?"))</f>
        <v/>
      </c>
      <c r="G252" s="13" t="str">
        <f aca="false">IF($A252="","",COUNTIF($A$6:$A252,$A252)&amp;". Wunsch")</f>
        <v/>
      </c>
      <c r="H252" s="13" t="str">
        <f aca="false">IF(OR($A252="",$B252="",$C252="",$C252&lt;$B252),"",NETWORKDAYS($B252,$C252,Einstellungen!$N$7:$N$40))</f>
        <v/>
      </c>
      <c r="I252" s="12" t="str">
        <f aca="false">IF($A252="","",IF(OR($B252="",$C252=""),"Von und Bis eintragen",IF($C252&lt;$B252,"Bis liegt vor Von",IF(ISNA(MATCH($A252,Team!$A$5:$A$64,0)),"Name fehlt im Blatt Team",IF(COUNTIFS($A$6:$A$605,$A252,$B$6:$B$605,"&lt;="&amp;$C252,$C$6:$C$605,"&gt;="&amp;$B252)&gt;1,"Überschneidet sich mit eigenem Wunsch",IF(OR($B252&lt;Einstellungen!$B$3,$C252&gt;Einstellungen!$B$4),"Teils außerhalb des Planungsjahres","ok"))))))</f>
        <v/>
      </c>
      <c r="J252" s="14"/>
    </row>
    <row r="253" customFormat="false" ht="15" hidden="false" customHeight="false" outlineLevel="0" collapsed="false">
      <c r="A253" s="15"/>
      <c r="B253" s="14"/>
      <c r="C253" s="14"/>
      <c r="D253" s="15"/>
      <c r="E253" s="15"/>
      <c r="F253" s="12" t="str">
        <f aca="false">IF($A253="","",IFERROR(INDEX(Team!$B$5:$B$64,MATCH($A253,Team!$A$5:$A$64,0)),"?"))</f>
        <v/>
      </c>
      <c r="G253" s="13" t="str">
        <f aca="false">IF($A253="","",COUNTIF($A$6:$A253,$A253)&amp;". Wunsch")</f>
        <v/>
      </c>
      <c r="H253" s="13" t="str">
        <f aca="false">IF(OR($A253="",$B253="",$C253="",$C253&lt;$B253),"",NETWORKDAYS($B253,$C253,Einstellungen!$N$7:$N$40))</f>
        <v/>
      </c>
      <c r="I253" s="12" t="str">
        <f aca="false">IF($A253="","",IF(OR($B253="",$C253=""),"Von und Bis eintragen",IF($C253&lt;$B253,"Bis liegt vor Von",IF(ISNA(MATCH($A253,Team!$A$5:$A$64,0)),"Name fehlt im Blatt Team",IF(COUNTIFS($A$6:$A$605,$A253,$B$6:$B$605,"&lt;="&amp;$C253,$C$6:$C$605,"&gt;="&amp;$B253)&gt;1,"Überschneidet sich mit eigenem Wunsch",IF(OR($B253&lt;Einstellungen!$B$3,$C253&gt;Einstellungen!$B$4),"Teils außerhalb des Planungsjahres","ok"))))))</f>
        <v/>
      </c>
      <c r="J253" s="14"/>
    </row>
    <row r="254" customFormat="false" ht="15" hidden="false" customHeight="false" outlineLevel="0" collapsed="false">
      <c r="A254" s="15"/>
      <c r="B254" s="14"/>
      <c r="C254" s="14"/>
      <c r="D254" s="15"/>
      <c r="E254" s="15"/>
      <c r="F254" s="12" t="str">
        <f aca="false">IF($A254="","",IFERROR(INDEX(Team!$B$5:$B$64,MATCH($A254,Team!$A$5:$A$64,0)),"?"))</f>
        <v/>
      </c>
      <c r="G254" s="13" t="str">
        <f aca="false">IF($A254="","",COUNTIF($A$6:$A254,$A254)&amp;". Wunsch")</f>
        <v/>
      </c>
      <c r="H254" s="13" t="str">
        <f aca="false">IF(OR($A254="",$B254="",$C254="",$C254&lt;$B254),"",NETWORKDAYS($B254,$C254,Einstellungen!$N$7:$N$40))</f>
        <v/>
      </c>
      <c r="I254" s="12" t="str">
        <f aca="false">IF($A254="","",IF(OR($B254="",$C254=""),"Von und Bis eintragen",IF($C254&lt;$B254,"Bis liegt vor Von",IF(ISNA(MATCH($A254,Team!$A$5:$A$64,0)),"Name fehlt im Blatt Team",IF(COUNTIFS($A$6:$A$605,$A254,$B$6:$B$605,"&lt;="&amp;$C254,$C$6:$C$605,"&gt;="&amp;$B254)&gt;1,"Überschneidet sich mit eigenem Wunsch",IF(OR($B254&lt;Einstellungen!$B$3,$C254&gt;Einstellungen!$B$4),"Teils außerhalb des Planungsjahres","ok"))))))</f>
        <v/>
      </c>
      <c r="J254" s="14"/>
    </row>
    <row r="255" customFormat="false" ht="15" hidden="false" customHeight="false" outlineLevel="0" collapsed="false">
      <c r="A255" s="15"/>
      <c r="B255" s="14"/>
      <c r="C255" s="14"/>
      <c r="D255" s="15"/>
      <c r="E255" s="15"/>
      <c r="F255" s="12" t="str">
        <f aca="false">IF($A255="","",IFERROR(INDEX(Team!$B$5:$B$64,MATCH($A255,Team!$A$5:$A$64,0)),"?"))</f>
        <v/>
      </c>
      <c r="G255" s="13" t="str">
        <f aca="false">IF($A255="","",COUNTIF($A$6:$A255,$A255)&amp;". Wunsch")</f>
        <v/>
      </c>
      <c r="H255" s="13" t="str">
        <f aca="false">IF(OR($A255="",$B255="",$C255="",$C255&lt;$B255),"",NETWORKDAYS($B255,$C255,Einstellungen!$N$7:$N$40))</f>
        <v/>
      </c>
      <c r="I255" s="12" t="str">
        <f aca="false">IF($A255="","",IF(OR($B255="",$C255=""),"Von und Bis eintragen",IF($C255&lt;$B255,"Bis liegt vor Von",IF(ISNA(MATCH($A255,Team!$A$5:$A$64,0)),"Name fehlt im Blatt Team",IF(COUNTIFS($A$6:$A$605,$A255,$B$6:$B$605,"&lt;="&amp;$C255,$C$6:$C$605,"&gt;="&amp;$B255)&gt;1,"Überschneidet sich mit eigenem Wunsch",IF(OR($B255&lt;Einstellungen!$B$3,$C255&gt;Einstellungen!$B$4),"Teils außerhalb des Planungsjahres","ok"))))))</f>
        <v/>
      </c>
      <c r="J255" s="14"/>
    </row>
    <row r="256" customFormat="false" ht="15" hidden="false" customHeight="false" outlineLevel="0" collapsed="false">
      <c r="A256" s="15"/>
      <c r="B256" s="14"/>
      <c r="C256" s="14"/>
      <c r="D256" s="15"/>
      <c r="E256" s="15"/>
      <c r="F256" s="12" t="str">
        <f aca="false">IF($A256="","",IFERROR(INDEX(Team!$B$5:$B$64,MATCH($A256,Team!$A$5:$A$64,0)),"?"))</f>
        <v/>
      </c>
      <c r="G256" s="13" t="str">
        <f aca="false">IF($A256="","",COUNTIF($A$6:$A256,$A256)&amp;". Wunsch")</f>
        <v/>
      </c>
      <c r="H256" s="13" t="str">
        <f aca="false">IF(OR($A256="",$B256="",$C256="",$C256&lt;$B256),"",NETWORKDAYS($B256,$C256,Einstellungen!$N$7:$N$40))</f>
        <v/>
      </c>
      <c r="I256" s="12" t="str">
        <f aca="false">IF($A256="","",IF(OR($B256="",$C256=""),"Von und Bis eintragen",IF($C256&lt;$B256,"Bis liegt vor Von",IF(ISNA(MATCH($A256,Team!$A$5:$A$64,0)),"Name fehlt im Blatt Team",IF(COUNTIFS($A$6:$A$605,$A256,$B$6:$B$605,"&lt;="&amp;$C256,$C$6:$C$605,"&gt;="&amp;$B256)&gt;1,"Überschneidet sich mit eigenem Wunsch",IF(OR($B256&lt;Einstellungen!$B$3,$C256&gt;Einstellungen!$B$4),"Teils außerhalb des Planungsjahres","ok"))))))</f>
        <v/>
      </c>
      <c r="J256" s="14"/>
    </row>
    <row r="257" customFormat="false" ht="15" hidden="false" customHeight="false" outlineLevel="0" collapsed="false">
      <c r="A257" s="15"/>
      <c r="B257" s="14"/>
      <c r="C257" s="14"/>
      <c r="D257" s="15"/>
      <c r="E257" s="15"/>
      <c r="F257" s="12" t="str">
        <f aca="false">IF($A257="","",IFERROR(INDEX(Team!$B$5:$B$64,MATCH($A257,Team!$A$5:$A$64,0)),"?"))</f>
        <v/>
      </c>
      <c r="G257" s="13" t="str">
        <f aca="false">IF($A257="","",COUNTIF($A$6:$A257,$A257)&amp;". Wunsch")</f>
        <v/>
      </c>
      <c r="H257" s="13" t="str">
        <f aca="false">IF(OR($A257="",$B257="",$C257="",$C257&lt;$B257),"",NETWORKDAYS($B257,$C257,Einstellungen!$N$7:$N$40))</f>
        <v/>
      </c>
      <c r="I257" s="12" t="str">
        <f aca="false">IF($A257="","",IF(OR($B257="",$C257=""),"Von und Bis eintragen",IF($C257&lt;$B257,"Bis liegt vor Von",IF(ISNA(MATCH($A257,Team!$A$5:$A$64,0)),"Name fehlt im Blatt Team",IF(COUNTIFS($A$6:$A$605,$A257,$B$6:$B$605,"&lt;="&amp;$C257,$C$6:$C$605,"&gt;="&amp;$B257)&gt;1,"Überschneidet sich mit eigenem Wunsch",IF(OR($B257&lt;Einstellungen!$B$3,$C257&gt;Einstellungen!$B$4),"Teils außerhalb des Planungsjahres","ok"))))))</f>
        <v/>
      </c>
      <c r="J257" s="14"/>
    </row>
    <row r="258" customFormat="false" ht="15" hidden="false" customHeight="false" outlineLevel="0" collapsed="false">
      <c r="A258" s="15"/>
      <c r="B258" s="14"/>
      <c r="C258" s="14"/>
      <c r="D258" s="15"/>
      <c r="E258" s="15"/>
      <c r="F258" s="12" t="str">
        <f aca="false">IF($A258="","",IFERROR(INDEX(Team!$B$5:$B$64,MATCH($A258,Team!$A$5:$A$64,0)),"?"))</f>
        <v/>
      </c>
      <c r="G258" s="13" t="str">
        <f aca="false">IF($A258="","",COUNTIF($A$6:$A258,$A258)&amp;". Wunsch")</f>
        <v/>
      </c>
      <c r="H258" s="13" t="str">
        <f aca="false">IF(OR($A258="",$B258="",$C258="",$C258&lt;$B258),"",NETWORKDAYS($B258,$C258,Einstellungen!$N$7:$N$40))</f>
        <v/>
      </c>
      <c r="I258" s="12" t="str">
        <f aca="false">IF($A258="","",IF(OR($B258="",$C258=""),"Von und Bis eintragen",IF($C258&lt;$B258,"Bis liegt vor Von",IF(ISNA(MATCH($A258,Team!$A$5:$A$64,0)),"Name fehlt im Blatt Team",IF(COUNTIFS($A$6:$A$605,$A258,$B$6:$B$605,"&lt;="&amp;$C258,$C$6:$C$605,"&gt;="&amp;$B258)&gt;1,"Überschneidet sich mit eigenem Wunsch",IF(OR($B258&lt;Einstellungen!$B$3,$C258&gt;Einstellungen!$B$4),"Teils außerhalb des Planungsjahres","ok"))))))</f>
        <v/>
      </c>
      <c r="J258" s="14"/>
    </row>
    <row r="259" customFormat="false" ht="15" hidden="false" customHeight="false" outlineLevel="0" collapsed="false">
      <c r="A259" s="15"/>
      <c r="B259" s="14"/>
      <c r="C259" s="14"/>
      <c r="D259" s="15"/>
      <c r="E259" s="15"/>
      <c r="F259" s="12" t="str">
        <f aca="false">IF($A259="","",IFERROR(INDEX(Team!$B$5:$B$64,MATCH($A259,Team!$A$5:$A$64,0)),"?"))</f>
        <v/>
      </c>
      <c r="G259" s="13" t="str">
        <f aca="false">IF($A259="","",COUNTIF($A$6:$A259,$A259)&amp;". Wunsch")</f>
        <v/>
      </c>
      <c r="H259" s="13" t="str">
        <f aca="false">IF(OR($A259="",$B259="",$C259="",$C259&lt;$B259),"",NETWORKDAYS($B259,$C259,Einstellungen!$N$7:$N$40))</f>
        <v/>
      </c>
      <c r="I259" s="12" t="str">
        <f aca="false">IF($A259="","",IF(OR($B259="",$C259=""),"Von und Bis eintragen",IF($C259&lt;$B259,"Bis liegt vor Von",IF(ISNA(MATCH($A259,Team!$A$5:$A$64,0)),"Name fehlt im Blatt Team",IF(COUNTIFS($A$6:$A$605,$A259,$B$6:$B$605,"&lt;="&amp;$C259,$C$6:$C$605,"&gt;="&amp;$B259)&gt;1,"Überschneidet sich mit eigenem Wunsch",IF(OR($B259&lt;Einstellungen!$B$3,$C259&gt;Einstellungen!$B$4),"Teils außerhalb des Planungsjahres","ok"))))))</f>
        <v/>
      </c>
      <c r="J259" s="14"/>
    </row>
    <row r="260" customFormat="false" ht="15" hidden="false" customHeight="false" outlineLevel="0" collapsed="false">
      <c r="A260" s="15"/>
      <c r="B260" s="14"/>
      <c r="C260" s="14"/>
      <c r="D260" s="15"/>
      <c r="E260" s="15"/>
      <c r="F260" s="12" t="str">
        <f aca="false">IF($A260="","",IFERROR(INDEX(Team!$B$5:$B$64,MATCH($A260,Team!$A$5:$A$64,0)),"?"))</f>
        <v/>
      </c>
      <c r="G260" s="13" t="str">
        <f aca="false">IF($A260="","",COUNTIF($A$6:$A260,$A260)&amp;". Wunsch")</f>
        <v/>
      </c>
      <c r="H260" s="13" t="str">
        <f aca="false">IF(OR($A260="",$B260="",$C260="",$C260&lt;$B260),"",NETWORKDAYS($B260,$C260,Einstellungen!$N$7:$N$40))</f>
        <v/>
      </c>
      <c r="I260" s="12" t="str">
        <f aca="false">IF($A260="","",IF(OR($B260="",$C260=""),"Von und Bis eintragen",IF($C260&lt;$B260,"Bis liegt vor Von",IF(ISNA(MATCH($A260,Team!$A$5:$A$64,0)),"Name fehlt im Blatt Team",IF(COUNTIFS($A$6:$A$605,$A260,$B$6:$B$605,"&lt;="&amp;$C260,$C$6:$C$605,"&gt;="&amp;$B260)&gt;1,"Überschneidet sich mit eigenem Wunsch",IF(OR($B260&lt;Einstellungen!$B$3,$C260&gt;Einstellungen!$B$4),"Teils außerhalb des Planungsjahres","ok"))))))</f>
        <v/>
      </c>
      <c r="J260" s="14"/>
    </row>
    <row r="261" customFormat="false" ht="15" hidden="false" customHeight="false" outlineLevel="0" collapsed="false">
      <c r="A261" s="15"/>
      <c r="B261" s="14"/>
      <c r="C261" s="14"/>
      <c r="D261" s="15"/>
      <c r="E261" s="15"/>
      <c r="F261" s="12" t="str">
        <f aca="false">IF($A261="","",IFERROR(INDEX(Team!$B$5:$B$64,MATCH($A261,Team!$A$5:$A$64,0)),"?"))</f>
        <v/>
      </c>
      <c r="G261" s="13" t="str">
        <f aca="false">IF($A261="","",COUNTIF($A$6:$A261,$A261)&amp;". Wunsch")</f>
        <v/>
      </c>
      <c r="H261" s="13" t="str">
        <f aca="false">IF(OR($A261="",$B261="",$C261="",$C261&lt;$B261),"",NETWORKDAYS($B261,$C261,Einstellungen!$N$7:$N$40))</f>
        <v/>
      </c>
      <c r="I261" s="12" t="str">
        <f aca="false">IF($A261="","",IF(OR($B261="",$C261=""),"Von und Bis eintragen",IF($C261&lt;$B261,"Bis liegt vor Von",IF(ISNA(MATCH($A261,Team!$A$5:$A$64,0)),"Name fehlt im Blatt Team",IF(COUNTIFS($A$6:$A$605,$A261,$B$6:$B$605,"&lt;="&amp;$C261,$C$6:$C$605,"&gt;="&amp;$B261)&gt;1,"Überschneidet sich mit eigenem Wunsch",IF(OR($B261&lt;Einstellungen!$B$3,$C261&gt;Einstellungen!$B$4),"Teils außerhalb des Planungsjahres","ok"))))))</f>
        <v/>
      </c>
      <c r="J261" s="14"/>
    </row>
    <row r="262" customFormat="false" ht="15" hidden="false" customHeight="false" outlineLevel="0" collapsed="false">
      <c r="A262" s="15"/>
      <c r="B262" s="14"/>
      <c r="C262" s="14"/>
      <c r="D262" s="15"/>
      <c r="E262" s="15"/>
      <c r="F262" s="12" t="str">
        <f aca="false">IF($A262="","",IFERROR(INDEX(Team!$B$5:$B$64,MATCH($A262,Team!$A$5:$A$64,0)),"?"))</f>
        <v/>
      </c>
      <c r="G262" s="13" t="str">
        <f aca="false">IF($A262="","",COUNTIF($A$6:$A262,$A262)&amp;". Wunsch")</f>
        <v/>
      </c>
      <c r="H262" s="13" t="str">
        <f aca="false">IF(OR($A262="",$B262="",$C262="",$C262&lt;$B262),"",NETWORKDAYS($B262,$C262,Einstellungen!$N$7:$N$40))</f>
        <v/>
      </c>
      <c r="I262" s="12" t="str">
        <f aca="false">IF($A262="","",IF(OR($B262="",$C262=""),"Von und Bis eintragen",IF($C262&lt;$B262,"Bis liegt vor Von",IF(ISNA(MATCH($A262,Team!$A$5:$A$64,0)),"Name fehlt im Blatt Team",IF(COUNTIFS($A$6:$A$605,$A262,$B$6:$B$605,"&lt;="&amp;$C262,$C$6:$C$605,"&gt;="&amp;$B262)&gt;1,"Überschneidet sich mit eigenem Wunsch",IF(OR($B262&lt;Einstellungen!$B$3,$C262&gt;Einstellungen!$B$4),"Teils außerhalb des Planungsjahres","ok"))))))</f>
        <v/>
      </c>
      <c r="J262" s="14"/>
    </row>
    <row r="263" customFormat="false" ht="15" hidden="false" customHeight="false" outlineLevel="0" collapsed="false">
      <c r="A263" s="15"/>
      <c r="B263" s="14"/>
      <c r="C263" s="14"/>
      <c r="D263" s="15"/>
      <c r="E263" s="15"/>
      <c r="F263" s="12" t="str">
        <f aca="false">IF($A263="","",IFERROR(INDEX(Team!$B$5:$B$64,MATCH($A263,Team!$A$5:$A$64,0)),"?"))</f>
        <v/>
      </c>
      <c r="G263" s="13" t="str">
        <f aca="false">IF($A263="","",COUNTIF($A$6:$A263,$A263)&amp;". Wunsch")</f>
        <v/>
      </c>
      <c r="H263" s="13" t="str">
        <f aca="false">IF(OR($A263="",$B263="",$C263="",$C263&lt;$B263),"",NETWORKDAYS($B263,$C263,Einstellungen!$N$7:$N$40))</f>
        <v/>
      </c>
      <c r="I263" s="12" t="str">
        <f aca="false">IF($A263="","",IF(OR($B263="",$C263=""),"Von und Bis eintragen",IF($C263&lt;$B263,"Bis liegt vor Von",IF(ISNA(MATCH($A263,Team!$A$5:$A$64,0)),"Name fehlt im Blatt Team",IF(COUNTIFS($A$6:$A$605,$A263,$B$6:$B$605,"&lt;="&amp;$C263,$C$6:$C$605,"&gt;="&amp;$B263)&gt;1,"Überschneidet sich mit eigenem Wunsch",IF(OR($B263&lt;Einstellungen!$B$3,$C263&gt;Einstellungen!$B$4),"Teils außerhalb des Planungsjahres","ok"))))))</f>
        <v/>
      </c>
      <c r="J263" s="14"/>
    </row>
    <row r="264" customFormat="false" ht="15" hidden="false" customHeight="false" outlineLevel="0" collapsed="false">
      <c r="A264" s="15"/>
      <c r="B264" s="14"/>
      <c r="C264" s="14"/>
      <c r="D264" s="15"/>
      <c r="E264" s="15"/>
      <c r="F264" s="12" t="str">
        <f aca="false">IF($A264="","",IFERROR(INDEX(Team!$B$5:$B$64,MATCH($A264,Team!$A$5:$A$64,0)),"?"))</f>
        <v/>
      </c>
      <c r="G264" s="13" t="str">
        <f aca="false">IF($A264="","",COUNTIF($A$6:$A264,$A264)&amp;". Wunsch")</f>
        <v/>
      </c>
      <c r="H264" s="13" t="str">
        <f aca="false">IF(OR($A264="",$B264="",$C264="",$C264&lt;$B264),"",NETWORKDAYS($B264,$C264,Einstellungen!$N$7:$N$40))</f>
        <v/>
      </c>
      <c r="I264" s="12" t="str">
        <f aca="false">IF($A264="","",IF(OR($B264="",$C264=""),"Von und Bis eintragen",IF($C264&lt;$B264,"Bis liegt vor Von",IF(ISNA(MATCH($A264,Team!$A$5:$A$64,0)),"Name fehlt im Blatt Team",IF(COUNTIFS($A$6:$A$605,$A264,$B$6:$B$605,"&lt;="&amp;$C264,$C$6:$C$605,"&gt;="&amp;$B264)&gt;1,"Überschneidet sich mit eigenem Wunsch",IF(OR($B264&lt;Einstellungen!$B$3,$C264&gt;Einstellungen!$B$4),"Teils außerhalb des Planungsjahres","ok"))))))</f>
        <v/>
      </c>
      <c r="J264" s="14"/>
    </row>
    <row r="265" customFormat="false" ht="15" hidden="false" customHeight="false" outlineLevel="0" collapsed="false">
      <c r="A265" s="15"/>
      <c r="B265" s="14"/>
      <c r="C265" s="14"/>
      <c r="D265" s="15"/>
      <c r="E265" s="15"/>
      <c r="F265" s="12" t="str">
        <f aca="false">IF($A265="","",IFERROR(INDEX(Team!$B$5:$B$64,MATCH($A265,Team!$A$5:$A$64,0)),"?"))</f>
        <v/>
      </c>
      <c r="G265" s="13" t="str">
        <f aca="false">IF($A265="","",COUNTIF($A$6:$A265,$A265)&amp;". Wunsch")</f>
        <v/>
      </c>
      <c r="H265" s="13" t="str">
        <f aca="false">IF(OR($A265="",$B265="",$C265="",$C265&lt;$B265),"",NETWORKDAYS($B265,$C265,Einstellungen!$N$7:$N$40))</f>
        <v/>
      </c>
      <c r="I265" s="12" t="str">
        <f aca="false">IF($A265="","",IF(OR($B265="",$C265=""),"Von und Bis eintragen",IF($C265&lt;$B265,"Bis liegt vor Von",IF(ISNA(MATCH($A265,Team!$A$5:$A$64,0)),"Name fehlt im Blatt Team",IF(COUNTIFS($A$6:$A$605,$A265,$B$6:$B$605,"&lt;="&amp;$C265,$C$6:$C$605,"&gt;="&amp;$B265)&gt;1,"Überschneidet sich mit eigenem Wunsch",IF(OR($B265&lt;Einstellungen!$B$3,$C265&gt;Einstellungen!$B$4),"Teils außerhalb des Planungsjahres","ok"))))))</f>
        <v/>
      </c>
      <c r="J265" s="14"/>
    </row>
    <row r="266" customFormat="false" ht="15" hidden="false" customHeight="false" outlineLevel="0" collapsed="false">
      <c r="A266" s="15"/>
      <c r="B266" s="14"/>
      <c r="C266" s="14"/>
      <c r="D266" s="15"/>
      <c r="E266" s="15"/>
      <c r="F266" s="12" t="str">
        <f aca="false">IF($A266="","",IFERROR(INDEX(Team!$B$5:$B$64,MATCH($A266,Team!$A$5:$A$64,0)),"?"))</f>
        <v/>
      </c>
      <c r="G266" s="13" t="str">
        <f aca="false">IF($A266="","",COUNTIF($A$6:$A266,$A266)&amp;". Wunsch")</f>
        <v/>
      </c>
      <c r="H266" s="13" t="str">
        <f aca="false">IF(OR($A266="",$B266="",$C266="",$C266&lt;$B266),"",NETWORKDAYS($B266,$C266,Einstellungen!$N$7:$N$40))</f>
        <v/>
      </c>
      <c r="I266" s="12" t="str">
        <f aca="false">IF($A266="","",IF(OR($B266="",$C266=""),"Von und Bis eintragen",IF($C266&lt;$B266,"Bis liegt vor Von",IF(ISNA(MATCH($A266,Team!$A$5:$A$64,0)),"Name fehlt im Blatt Team",IF(COUNTIFS($A$6:$A$605,$A266,$B$6:$B$605,"&lt;="&amp;$C266,$C$6:$C$605,"&gt;="&amp;$B266)&gt;1,"Überschneidet sich mit eigenem Wunsch",IF(OR($B266&lt;Einstellungen!$B$3,$C266&gt;Einstellungen!$B$4),"Teils außerhalb des Planungsjahres","ok"))))))</f>
        <v/>
      </c>
      <c r="J266" s="14"/>
    </row>
    <row r="267" customFormat="false" ht="15" hidden="false" customHeight="false" outlineLevel="0" collapsed="false">
      <c r="A267" s="15"/>
      <c r="B267" s="14"/>
      <c r="C267" s="14"/>
      <c r="D267" s="15"/>
      <c r="E267" s="15"/>
      <c r="F267" s="12" t="str">
        <f aca="false">IF($A267="","",IFERROR(INDEX(Team!$B$5:$B$64,MATCH($A267,Team!$A$5:$A$64,0)),"?"))</f>
        <v/>
      </c>
      <c r="G267" s="13" t="str">
        <f aca="false">IF($A267="","",COUNTIF($A$6:$A267,$A267)&amp;". Wunsch")</f>
        <v/>
      </c>
      <c r="H267" s="13" t="str">
        <f aca="false">IF(OR($A267="",$B267="",$C267="",$C267&lt;$B267),"",NETWORKDAYS($B267,$C267,Einstellungen!$N$7:$N$40))</f>
        <v/>
      </c>
      <c r="I267" s="12" t="str">
        <f aca="false">IF($A267="","",IF(OR($B267="",$C267=""),"Von und Bis eintragen",IF($C267&lt;$B267,"Bis liegt vor Von",IF(ISNA(MATCH($A267,Team!$A$5:$A$64,0)),"Name fehlt im Blatt Team",IF(COUNTIFS($A$6:$A$605,$A267,$B$6:$B$605,"&lt;="&amp;$C267,$C$6:$C$605,"&gt;="&amp;$B267)&gt;1,"Überschneidet sich mit eigenem Wunsch",IF(OR($B267&lt;Einstellungen!$B$3,$C267&gt;Einstellungen!$B$4),"Teils außerhalb des Planungsjahres","ok"))))))</f>
        <v/>
      </c>
      <c r="J267" s="14"/>
    </row>
    <row r="268" customFormat="false" ht="15" hidden="false" customHeight="false" outlineLevel="0" collapsed="false">
      <c r="A268" s="15"/>
      <c r="B268" s="14"/>
      <c r="C268" s="14"/>
      <c r="D268" s="15"/>
      <c r="E268" s="15"/>
      <c r="F268" s="12" t="str">
        <f aca="false">IF($A268="","",IFERROR(INDEX(Team!$B$5:$B$64,MATCH($A268,Team!$A$5:$A$64,0)),"?"))</f>
        <v/>
      </c>
      <c r="G268" s="13" t="str">
        <f aca="false">IF($A268="","",COUNTIF($A$6:$A268,$A268)&amp;". Wunsch")</f>
        <v/>
      </c>
      <c r="H268" s="13" t="str">
        <f aca="false">IF(OR($A268="",$B268="",$C268="",$C268&lt;$B268),"",NETWORKDAYS($B268,$C268,Einstellungen!$N$7:$N$40))</f>
        <v/>
      </c>
      <c r="I268" s="12" t="str">
        <f aca="false">IF($A268="","",IF(OR($B268="",$C268=""),"Von und Bis eintragen",IF($C268&lt;$B268,"Bis liegt vor Von",IF(ISNA(MATCH($A268,Team!$A$5:$A$64,0)),"Name fehlt im Blatt Team",IF(COUNTIFS($A$6:$A$605,$A268,$B$6:$B$605,"&lt;="&amp;$C268,$C$6:$C$605,"&gt;="&amp;$B268)&gt;1,"Überschneidet sich mit eigenem Wunsch",IF(OR($B268&lt;Einstellungen!$B$3,$C268&gt;Einstellungen!$B$4),"Teils außerhalb des Planungsjahres","ok"))))))</f>
        <v/>
      </c>
      <c r="J268" s="14"/>
    </row>
    <row r="269" customFormat="false" ht="15" hidden="false" customHeight="false" outlineLevel="0" collapsed="false">
      <c r="A269" s="15"/>
      <c r="B269" s="14"/>
      <c r="C269" s="14"/>
      <c r="D269" s="15"/>
      <c r="E269" s="15"/>
      <c r="F269" s="12" t="str">
        <f aca="false">IF($A269="","",IFERROR(INDEX(Team!$B$5:$B$64,MATCH($A269,Team!$A$5:$A$64,0)),"?"))</f>
        <v/>
      </c>
      <c r="G269" s="13" t="str">
        <f aca="false">IF($A269="","",COUNTIF($A$6:$A269,$A269)&amp;". Wunsch")</f>
        <v/>
      </c>
      <c r="H269" s="13" t="str">
        <f aca="false">IF(OR($A269="",$B269="",$C269="",$C269&lt;$B269),"",NETWORKDAYS($B269,$C269,Einstellungen!$N$7:$N$40))</f>
        <v/>
      </c>
      <c r="I269" s="12" t="str">
        <f aca="false">IF($A269="","",IF(OR($B269="",$C269=""),"Von und Bis eintragen",IF($C269&lt;$B269,"Bis liegt vor Von",IF(ISNA(MATCH($A269,Team!$A$5:$A$64,0)),"Name fehlt im Blatt Team",IF(COUNTIFS($A$6:$A$605,$A269,$B$6:$B$605,"&lt;="&amp;$C269,$C$6:$C$605,"&gt;="&amp;$B269)&gt;1,"Überschneidet sich mit eigenem Wunsch",IF(OR($B269&lt;Einstellungen!$B$3,$C269&gt;Einstellungen!$B$4),"Teils außerhalb des Planungsjahres","ok"))))))</f>
        <v/>
      </c>
      <c r="J269" s="14"/>
    </row>
    <row r="270" customFormat="false" ht="15" hidden="false" customHeight="false" outlineLevel="0" collapsed="false">
      <c r="A270" s="15"/>
      <c r="B270" s="14"/>
      <c r="C270" s="14"/>
      <c r="D270" s="15"/>
      <c r="E270" s="15"/>
      <c r="F270" s="12" t="str">
        <f aca="false">IF($A270="","",IFERROR(INDEX(Team!$B$5:$B$64,MATCH($A270,Team!$A$5:$A$64,0)),"?"))</f>
        <v/>
      </c>
      <c r="G270" s="13" t="str">
        <f aca="false">IF($A270="","",COUNTIF($A$6:$A270,$A270)&amp;". Wunsch")</f>
        <v/>
      </c>
      <c r="H270" s="13" t="str">
        <f aca="false">IF(OR($A270="",$B270="",$C270="",$C270&lt;$B270),"",NETWORKDAYS($B270,$C270,Einstellungen!$N$7:$N$40))</f>
        <v/>
      </c>
      <c r="I270" s="12" t="str">
        <f aca="false">IF($A270="","",IF(OR($B270="",$C270=""),"Von und Bis eintragen",IF($C270&lt;$B270,"Bis liegt vor Von",IF(ISNA(MATCH($A270,Team!$A$5:$A$64,0)),"Name fehlt im Blatt Team",IF(COUNTIFS($A$6:$A$605,$A270,$B$6:$B$605,"&lt;="&amp;$C270,$C$6:$C$605,"&gt;="&amp;$B270)&gt;1,"Überschneidet sich mit eigenem Wunsch",IF(OR($B270&lt;Einstellungen!$B$3,$C270&gt;Einstellungen!$B$4),"Teils außerhalb des Planungsjahres","ok"))))))</f>
        <v/>
      </c>
      <c r="J270" s="14"/>
    </row>
    <row r="271" customFormat="false" ht="15" hidden="false" customHeight="false" outlineLevel="0" collapsed="false">
      <c r="A271" s="15"/>
      <c r="B271" s="14"/>
      <c r="C271" s="14"/>
      <c r="D271" s="15"/>
      <c r="E271" s="15"/>
      <c r="F271" s="12" t="str">
        <f aca="false">IF($A271="","",IFERROR(INDEX(Team!$B$5:$B$64,MATCH($A271,Team!$A$5:$A$64,0)),"?"))</f>
        <v/>
      </c>
      <c r="G271" s="13" t="str">
        <f aca="false">IF($A271="","",COUNTIF($A$6:$A271,$A271)&amp;". Wunsch")</f>
        <v/>
      </c>
      <c r="H271" s="13" t="str">
        <f aca="false">IF(OR($A271="",$B271="",$C271="",$C271&lt;$B271),"",NETWORKDAYS($B271,$C271,Einstellungen!$N$7:$N$40))</f>
        <v/>
      </c>
      <c r="I271" s="12" t="str">
        <f aca="false">IF($A271="","",IF(OR($B271="",$C271=""),"Von und Bis eintragen",IF($C271&lt;$B271,"Bis liegt vor Von",IF(ISNA(MATCH($A271,Team!$A$5:$A$64,0)),"Name fehlt im Blatt Team",IF(COUNTIFS($A$6:$A$605,$A271,$B$6:$B$605,"&lt;="&amp;$C271,$C$6:$C$605,"&gt;="&amp;$B271)&gt;1,"Überschneidet sich mit eigenem Wunsch",IF(OR($B271&lt;Einstellungen!$B$3,$C271&gt;Einstellungen!$B$4),"Teils außerhalb des Planungsjahres","ok"))))))</f>
        <v/>
      </c>
      <c r="J271" s="14"/>
    </row>
    <row r="272" customFormat="false" ht="15" hidden="false" customHeight="false" outlineLevel="0" collapsed="false">
      <c r="A272" s="15"/>
      <c r="B272" s="14"/>
      <c r="C272" s="14"/>
      <c r="D272" s="15"/>
      <c r="E272" s="15"/>
      <c r="F272" s="12" t="str">
        <f aca="false">IF($A272="","",IFERROR(INDEX(Team!$B$5:$B$64,MATCH($A272,Team!$A$5:$A$64,0)),"?"))</f>
        <v/>
      </c>
      <c r="G272" s="13" t="str">
        <f aca="false">IF($A272="","",COUNTIF($A$6:$A272,$A272)&amp;". Wunsch")</f>
        <v/>
      </c>
      <c r="H272" s="13" t="str">
        <f aca="false">IF(OR($A272="",$B272="",$C272="",$C272&lt;$B272),"",NETWORKDAYS($B272,$C272,Einstellungen!$N$7:$N$40))</f>
        <v/>
      </c>
      <c r="I272" s="12" t="str">
        <f aca="false">IF($A272="","",IF(OR($B272="",$C272=""),"Von und Bis eintragen",IF($C272&lt;$B272,"Bis liegt vor Von",IF(ISNA(MATCH($A272,Team!$A$5:$A$64,0)),"Name fehlt im Blatt Team",IF(COUNTIFS($A$6:$A$605,$A272,$B$6:$B$605,"&lt;="&amp;$C272,$C$6:$C$605,"&gt;="&amp;$B272)&gt;1,"Überschneidet sich mit eigenem Wunsch",IF(OR($B272&lt;Einstellungen!$B$3,$C272&gt;Einstellungen!$B$4),"Teils außerhalb des Planungsjahres","ok"))))))</f>
        <v/>
      </c>
      <c r="J272" s="14"/>
    </row>
    <row r="273" customFormat="false" ht="15" hidden="false" customHeight="false" outlineLevel="0" collapsed="false">
      <c r="A273" s="15"/>
      <c r="B273" s="14"/>
      <c r="C273" s="14"/>
      <c r="D273" s="15"/>
      <c r="E273" s="15"/>
      <c r="F273" s="12" t="str">
        <f aca="false">IF($A273="","",IFERROR(INDEX(Team!$B$5:$B$64,MATCH($A273,Team!$A$5:$A$64,0)),"?"))</f>
        <v/>
      </c>
      <c r="G273" s="13" t="str">
        <f aca="false">IF($A273="","",COUNTIF($A$6:$A273,$A273)&amp;". Wunsch")</f>
        <v/>
      </c>
      <c r="H273" s="13" t="str">
        <f aca="false">IF(OR($A273="",$B273="",$C273="",$C273&lt;$B273),"",NETWORKDAYS($B273,$C273,Einstellungen!$N$7:$N$40))</f>
        <v/>
      </c>
      <c r="I273" s="12" t="str">
        <f aca="false">IF($A273="","",IF(OR($B273="",$C273=""),"Von und Bis eintragen",IF($C273&lt;$B273,"Bis liegt vor Von",IF(ISNA(MATCH($A273,Team!$A$5:$A$64,0)),"Name fehlt im Blatt Team",IF(COUNTIFS($A$6:$A$605,$A273,$B$6:$B$605,"&lt;="&amp;$C273,$C$6:$C$605,"&gt;="&amp;$B273)&gt;1,"Überschneidet sich mit eigenem Wunsch",IF(OR($B273&lt;Einstellungen!$B$3,$C273&gt;Einstellungen!$B$4),"Teils außerhalb des Planungsjahres","ok"))))))</f>
        <v/>
      </c>
      <c r="J273" s="14"/>
    </row>
    <row r="274" customFormat="false" ht="15" hidden="false" customHeight="false" outlineLevel="0" collapsed="false">
      <c r="A274" s="15"/>
      <c r="B274" s="14"/>
      <c r="C274" s="14"/>
      <c r="D274" s="15"/>
      <c r="E274" s="15"/>
      <c r="F274" s="12" t="str">
        <f aca="false">IF($A274="","",IFERROR(INDEX(Team!$B$5:$B$64,MATCH($A274,Team!$A$5:$A$64,0)),"?"))</f>
        <v/>
      </c>
      <c r="G274" s="13" t="str">
        <f aca="false">IF($A274="","",COUNTIF($A$6:$A274,$A274)&amp;". Wunsch")</f>
        <v/>
      </c>
      <c r="H274" s="13" t="str">
        <f aca="false">IF(OR($A274="",$B274="",$C274="",$C274&lt;$B274),"",NETWORKDAYS($B274,$C274,Einstellungen!$N$7:$N$40))</f>
        <v/>
      </c>
      <c r="I274" s="12" t="str">
        <f aca="false">IF($A274="","",IF(OR($B274="",$C274=""),"Von und Bis eintragen",IF($C274&lt;$B274,"Bis liegt vor Von",IF(ISNA(MATCH($A274,Team!$A$5:$A$64,0)),"Name fehlt im Blatt Team",IF(COUNTIFS($A$6:$A$605,$A274,$B$6:$B$605,"&lt;="&amp;$C274,$C$6:$C$605,"&gt;="&amp;$B274)&gt;1,"Überschneidet sich mit eigenem Wunsch",IF(OR($B274&lt;Einstellungen!$B$3,$C274&gt;Einstellungen!$B$4),"Teils außerhalb des Planungsjahres","ok"))))))</f>
        <v/>
      </c>
      <c r="J274" s="14"/>
    </row>
    <row r="275" customFormat="false" ht="15" hidden="false" customHeight="false" outlineLevel="0" collapsed="false">
      <c r="A275" s="15"/>
      <c r="B275" s="14"/>
      <c r="C275" s="14"/>
      <c r="D275" s="15"/>
      <c r="E275" s="15"/>
      <c r="F275" s="12" t="str">
        <f aca="false">IF($A275="","",IFERROR(INDEX(Team!$B$5:$B$64,MATCH($A275,Team!$A$5:$A$64,0)),"?"))</f>
        <v/>
      </c>
      <c r="G275" s="13" t="str">
        <f aca="false">IF($A275="","",COUNTIF($A$6:$A275,$A275)&amp;". Wunsch")</f>
        <v/>
      </c>
      <c r="H275" s="13" t="str">
        <f aca="false">IF(OR($A275="",$B275="",$C275="",$C275&lt;$B275),"",NETWORKDAYS($B275,$C275,Einstellungen!$N$7:$N$40))</f>
        <v/>
      </c>
      <c r="I275" s="12" t="str">
        <f aca="false">IF($A275="","",IF(OR($B275="",$C275=""),"Von und Bis eintragen",IF($C275&lt;$B275,"Bis liegt vor Von",IF(ISNA(MATCH($A275,Team!$A$5:$A$64,0)),"Name fehlt im Blatt Team",IF(COUNTIFS($A$6:$A$605,$A275,$B$6:$B$605,"&lt;="&amp;$C275,$C$6:$C$605,"&gt;="&amp;$B275)&gt;1,"Überschneidet sich mit eigenem Wunsch",IF(OR($B275&lt;Einstellungen!$B$3,$C275&gt;Einstellungen!$B$4),"Teils außerhalb des Planungsjahres","ok"))))))</f>
        <v/>
      </c>
      <c r="J275" s="14"/>
    </row>
    <row r="276" customFormat="false" ht="15" hidden="false" customHeight="false" outlineLevel="0" collapsed="false">
      <c r="A276" s="15"/>
      <c r="B276" s="14"/>
      <c r="C276" s="14"/>
      <c r="D276" s="15"/>
      <c r="E276" s="15"/>
      <c r="F276" s="12" t="str">
        <f aca="false">IF($A276="","",IFERROR(INDEX(Team!$B$5:$B$64,MATCH($A276,Team!$A$5:$A$64,0)),"?"))</f>
        <v/>
      </c>
      <c r="G276" s="13" t="str">
        <f aca="false">IF($A276="","",COUNTIF($A$6:$A276,$A276)&amp;". Wunsch")</f>
        <v/>
      </c>
      <c r="H276" s="13" t="str">
        <f aca="false">IF(OR($A276="",$B276="",$C276="",$C276&lt;$B276),"",NETWORKDAYS($B276,$C276,Einstellungen!$N$7:$N$40))</f>
        <v/>
      </c>
      <c r="I276" s="12" t="str">
        <f aca="false">IF($A276="","",IF(OR($B276="",$C276=""),"Von und Bis eintragen",IF($C276&lt;$B276,"Bis liegt vor Von",IF(ISNA(MATCH($A276,Team!$A$5:$A$64,0)),"Name fehlt im Blatt Team",IF(COUNTIFS($A$6:$A$605,$A276,$B$6:$B$605,"&lt;="&amp;$C276,$C$6:$C$605,"&gt;="&amp;$B276)&gt;1,"Überschneidet sich mit eigenem Wunsch",IF(OR($B276&lt;Einstellungen!$B$3,$C276&gt;Einstellungen!$B$4),"Teils außerhalb des Planungsjahres","ok"))))))</f>
        <v/>
      </c>
      <c r="J276" s="14"/>
    </row>
    <row r="277" customFormat="false" ht="15" hidden="false" customHeight="false" outlineLevel="0" collapsed="false">
      <c r="A277" s="15"/>
      <c r="B277" s="14"/>
      <c r="C277" s="14"/>
      <c r="D277" s="15"/>
      <c r="E277" s="15"/>
      <c r="F277" s="12" t="str">
        <f aca="false">IF($A277="","",IFERROR(INDEX(Team!$B$5:$B$64,MATCH($A277,Team!$A$5:$A$64,0)),"?"))</f>
        <v/>
      </c>
      <c r="G277" s="13" t="str">
        <f aca="false">IF($A277="","",COUNTIF($A$6:$A277,$A277)&amp;". Wunsch")</f>
        <v/>
      </c>
      <c r="H277" s="13" t="str">
        <f aca="false">IF(OR($A277="",$B277="",$C277="",$C277&lt;$B277),"",NETWORKDAYS($B277,$C277,Einstellungen!$N$7:$N$40))</f>
        <v/>
      </c>
      <c r="I277" s="12" t="str">
        <f aca="false">IF($A277="","",IF(OR($B277="",$C277=""),"Von und Bis eintragen",IF($C277&lt;$B277,"Bis liegt vor Von",IF(ISNA(MATCH($A277,Team!$A$5:$A$64,0)),"Name fehlt im Blatt Team",IF(COUNTIFS($A$6:$A$605,$A277,$B$6:$B$605,"&lt;="&amp;$C277,$C$6:$C$605,"&gt;="&amp;$B277)&gt;1,"Überschneidet sich mit eigenem Wunsch",IF(OR($B277&lt;Einstellungen!$B$3,$C277&gt;Einstellungen!$B$4),"Teils außerhalb des Planungsjahres","ok"))))))</f>
        <v/>
      </c>
      <c r="J277" s="14"/>
    </row>
    <row r="278" customFormat="false" ht="15" hidden="false" customHeight="false" outlineLevel="0" collapsed="false">
      <c r="A278" s="15"/>
      <c r="B278" s="14"/>
      <c r="C278" s="14"/>
      <c r="D278" s="15"/>
      <c r="E278" s="15"/>
      <c r="F278" s="12" t="str">
        <f aca="false">IF($A278="","",IFERROR(INDEX(Team!$B$5:$B$64,MATCH($A278,Team!$A$5:$A$64,0)),"?"))</f>
        <v/>
      </c>
      <c r="G278" s="13" t="str">
        <f aca="false">IF($A278="","",COUNTIF($A$6:$A278,$A278)&amp;". Wunsch")</f>
        <v/>
      </c>
      <c r="H278" s="13" t="str">
        <f aca="false">IF(OR($A278="",$B278="",$C278="",$C278&lt;$B278),"",NETWORKDAYS($B278,$C278,Einstellungen!$N$7:$N$40))</f>
        <v/>
      </c>
      <c r="I278" s="12" t="str">
        <f aca="false">IF($A278="","",IF(OR($B278="",$C278=""),"Von und Bis eintragen",IF($C278&lt;$B278,"Bis liegt vor Von",IF(ISNA(MATCH($A278,Team!$A$5:$A$64,0)),"Name fehlt im Blatt Team",IF(COUNTIFS($A$6:$A$605,$A278,$B$6:$B$605,"&lt;="&amp;$C278,$C$6:$C$605,"&gt;="&amp;$B278)&gt;1,"Überschneidet sich mit eigenem Wunsch",IF(OR($B278&lt;Einstellungen!$B$3,$C278&gt;Einstellungen!$B$4),"Teils außerhalb des Planungsjahres","ok"))))))</f>
        <v/>
      </c>
      <c r="J278" s="14"/>
    </row>
    <row r="279" customFormat="false" ht="15" hidden="false" customHeight="false" outlineLevel="0" collapsed="false">
      <c r="A279" s="15"/>
      <c r="B279" s="14"/>
      <c r="C279" s="14"/>
      <c r="D279" s="15"/>
      <c r="E279" s="15"/>
      <c r="F279" s="12" t="str">
        <f aca="false">IF($A279="","",IFERROR(INDEX(Team!$B$5:$B$64,MATCH($A279,Team!$A$5:$A$64,0)),"?"))</f>
        <v/>
      </c>
      <c r="G279" s="13" t="str">
        <f aca="false">IF($A279="","",COUNTIF($A$6:$A279,$A279)&amp;". Wunsch")</f>
        <v/>
      </c>
      <c r="H279" s="13" t="str">
        <f aca="false">IF(OR($A279="",$B279="",$C279="",$C279&lt;$B279),"",NETWORKDAYS($B279,$C279,Einstellungen!$N$7:$N$40))</f>
        <v/>
      </c>
      <c r="I279" s="12" t="str">
        <f aca="false">IF($A279="","",IF(OR($B279="",$C279=""),"Von und Bis eintragen",IF($C279&lt;$B279,"Bis liegt vor Von",IF(ISNA(MATCH($A279,Team!$A$5:$A$64,0)),"Name fehlt im Blatt Team",IF(COUNTIFS($A$6:$A$605,$A279,$B$6:$B$605,"&lt;="&amp;$C279,$C$6:$C$605,"&gt;="&amp;$B279)&gt;1,"Überschneidet sich mit eigenem Wunsch",IF(OR($B279&lt;Einstellungen!$B$3,$C279&gt;Einstellungen!$B$4),"Teils außerhalb des Planungsjahres","ok"))))))</f>
        <v/>
      </c>
      <c r="J279" s="14"/>
    </row>
    <row r="280" customFormat="false" ht="15" hidden="false" customHeight="false" outlineLevel="0" collapsed="false">
      <c r="A280" s="15"/>
      <c r="B280" s="14"/>
      <c r="C280" s="14"/>
      <c r="D280" s="15"/>
      <c r="E280" s="15"/>
      <c r="F280" s="12" t="str">
        <f aca="false">IF($A280="","",IFERROR(INDEX(Team!$B$5:$B$64,MATCH($A280,Team!$A$5:$A$64,0)),"?"))</f>
        <v/>
      </c>
      <c r="G280" s="13" t="str">
        <f aca="false">IF($A280="","",COUNTIF($A$6:$A280,$A280)&amp;". Wunsch")</f>
        <v/>
      </c>
      <c r="H280" s="13" t="str">
        <f aca="false">IF(OR($A280="",$B280="",$C280="",$C280&lt;$B280),"",NETWORKDAYS($B280,$C280,Einstellungen!$N$7:$N$40))</f>
        <v/>
      </c>
      <c r="I280" s="12" t="str">
        <f aca="false">IF($A280="","",IF(OR($B280="",$C280=""),"Von und Bis eintragen",IF($C280&lt;$B280,"Bis liegt vor Von",IF(ISNA(MATCH($A280,Team!$A$5:$A$64,0)),"Name fehlt im Blatt Team",IF(COUNTIFS($A$6:$A$605,$A280,$B$6:$B$605,"&lt;="&amp;$C280,$C$6:$C$605,"&gt;="&amp;$B280)&gt;1,"Überschneidet sich mit eigenem Wunsch",IF(OR($B280&lt;Einstellungen!$B$3,$C280&gt;Einstellungen!$B$4),"Teils außerhalb des Planungsjahres","ok"))))))</f>
        <v/>
      </c>
      <c r="J280" s="14"/>
    </row>
    <row r="281" customFormat="false" ht="15" hidden="false" customHeight="false" outlineLevel="0" collapsed="false">
      <c r="A281" s="15"/>
      <c r="B281" s="14"/>
      <c r="C281" s="14"/>
      <c r="D281" s="15"/>
      <c r="E281" s="15"/>
      <c r="F281" s="12" t="str">
        <f aca="false">IF($A281="","",IFERROR(INDEX(Team!$B$5:$B$64,MATCH($A281,Team!$A$5:$A$64,0)),"?"))</f>
        <v/>
      </c>
      <c r="G281" s="13" t="str">
        <f aca="false">IF($A281="","",COUNTIF($A$6:$A281,$A281)&amp;". Wunsch")</f>
        <v/>
      </c>
      <c r="H281" s="13" t="str">
        <f aca="false">IF(OR($A281="",$B281="",$C281="",$C281&lt;$B281),"",NETWORKDAYS($B281,$C281,Einstellungen!$N$7:$N$40))</f>
        <v/>
      </c>
      <c r="I281" s="12" t="str">
        <f aca="false">IF($A281="","",IF(OR($B281="",$C281=""),"Von und Bis eintragen",IF($C281&lt;$B281,"Bis liegt vor Von",IF(ISNA(MATCH($A281,Team!$A$5:$A$64,0)),"Name fehlt im Blatt Team",IF(COUNTIFS($A$6:$A$605,$A281,$B$6:$B$605,"&lt;="&amp;$C281,$C$6:$C$605,"&gt;="&amp;$B281)&gt;1,"Überschneidet sich mit eigenem Wunsch",IF(OR($B281&lt;Einstellungen!$B$3,$C281&gt;Einstellungen!$B$4),"Teils außerhalb des Planungsjahres","ok"))))))</f>
        <v/>
      </c>
      <c r="J281" s="14"/>
    </row>
    <row r="282" customFormat="false" ht="15" hidden="false" customHeight="false" outlineLevel="0" collapsed="false">
      <c r="A282" s="15"/>
      <c r="B282" s="14"/>
      <c r="C282" s="14"/>
      <c r="D282" s="15"/>
      <c r="E282" s="15"/>
      <c r="F282" s="12" t="str">
        <f aca="false">IF($A282="","",IFERROR(INDEX(Team!$B$5:$B$64,MATCH($A282,Team!$A$5:$A$64,0)),"?"))</f>
        <v/>
      </c>
      <c r="G282" s="13" t="str">
        <f aca="false">IF($A282="","",COUNTIF($A$6:$A282,$A282)&amp;". Wunsch")</f>
        <v/>
      </c>
      <c r="H282" s="13" t="str">
        <f aca="false">IF(OR($A282="",$B282="",$C282="",$C282&lt;$B282),"",NETWORKDAYS($B282,$C282,Einstellungen!$N$7:$N$40))</f>
        <v/>
      </c>
      <c r="I282" s="12" t="str">
        <f aca="false">IF($A282="","",IF(OR($B282="",$C282=""),"Von und Bis eintragen",IF($C282&lt;$B282,"Bis liegt vor Von",IF(ISNA(MATCH($A282,Team!$A$5:$A$64,0)),"Name fehlt im Blatt Team",IF(COUNTIFS($A$6:$A$605,$A282,$B$6:$B$605,"&lt;="&amp;$C282,$C$6:$C$605,"&gt;="&amp;$B282)&gt;1,"Überschneidet sich mit eigenem Wunsch",IF(OR($B282&lt;Einstellungen!$B$3,$C282&gt;Einstellungen!$B$4),"Teils außerhalb des Planungsjahres","ok"))))))</f>
        <v/>
      </c>
      <c r="J282" s="14"/>
    </row>
    <row r="283" customFormat="false" ht="15" hidden="false" customHeight="false" outlineLevel="0" collapsed="false">
      <c r="A283" s="15"/>
      <c r="B283" s="14"/>
      <c r="C283" s="14"/>
      <c r="D283" s="15"/>
      <c r="E283" s="15"/>
      <c r="F283" s="12" t="str">
        <f aca="false">IF($A283="","",IFERROR(INDEX(Team!$B$5:$B$64,MATCH($A283,Team!$A$5:$A$64,0)),"?"))</f>
        <v/>
      </c>
      <c r="G283" s="13" t="str">
        <f aca="false">IF($A283="","",COUNTIF($A$6:$A283,$A283)&amp;". Wunsch")</f>
        <v/>
      </c>
      <c r="H283" s="13" t="str">
        <f aca="false">IF(OR($A283="",$B283="",$C283="",$C283&lt;$B283),"",NETWORKDAYS($B283,$C283,Einstellungen!$N$7:$N$40))</f>
        <v/>
      </c>
      <c r="I283" s="12" t="str">
        <f aca="false">IF($A283="","",IF(OR($B283="",$C283=""),"Von und Bis eintragen",IF($C283&lt;$B283,"Bis liegt vor Von",IF(ISNA(MATCH($A283,Team!$A$5:$A$64,0)),"Name fehlt im Blatt Team",IF(COUNTIFS($A$6:$A$605,$A283,$B$6:$B$605,"&lt;="&amp;$C283,$C$6:$C$605,"&gt;="&amp;$B283)&gt;1,"Überschneidet sich mit eigenem Wunsch",IF(OR($B283&lt;Einstellungen!$B$3,$C283&gt;Einstellungen!$B$4),"Teils außerhalb des Planungsjahres","ok"))))))</f>
        <v/>
      </c>
      <c r="J283" s="14"/>
    </row>
    <row r="284" customFormat="false" ht="15" hidden="false" customHeight="false" outlineLevel="0" collapsed="false">
      <c r="A284" s="15"/>
      <c r="B284" s="14"/>
      <c r="C284" s="14"/>
      <c r="D284" s="15"/>
      <c r="E284" s="15"/>
      <c r="F284" s="12" t="str">
        <f aca="false">IF($A284="","",IFERROR(INDEX(Team!$B$5:$B$64,MATCH($A284,Team!$A$5:$A$64,0)),"?"))</f>
        <v/>
      </c>
      <c r="G284" s="13" t="str">
        <f aca="false">IF($A284="","",COUNTIF($A$6:$A284,$A284)&amp;". Wunsch")</f>
        <v/>
      </c>
      <c r="H284" s="13" t="str">
        <f aca="false">IF(OR($A284="",$B284="",$C284="",$C284&lt;$B284),"",NETWORKDAYS($B284,$C284,Einstellungen!$N$7:$N$40))</f>
        <v/>
      </c>
      <c r="I284" s="12" t="str">
        <f aca="false">IF($A284="","",IF(OR($B284="",$C284=""),"Von und Bis eintragen",IF($C284&lt;$B284,"Bis liegt vor Von",IF(ISNA(MATCH($A284,Team!$A$5:$A$64,0)),"Name fehlt im Blatt Team",IF(COUNTIFS($A$6:$A$605,$A284,$B$6:$B$605,"&lt;="&amp;$C284,$C$6:$C$605,"&gt;="&amp;$B284)&gt;1,"Überschneidet sich mit eigenem Wunsch",IF(OR($B284&lt;Einstellungen!$B$3,$C284&gt;Einstellungen!$B$4),"Teils außerhalb des Planungsjahres","ok"))))))</f>
        <v/>
      </c>
      <c r="J284" s="14"/>
    </row>
    <row r="285" customFormat="false" ht="15" hidden="false" customHeight="false" outlineLevel="0" collapsed="false">
      <c r="A285" s="15"/>
      <c r="B285" s="14"/>
      <c r="C285" s="14"/>
      <c r="D285" s="15"/>
      <c r="E285" s="15"/>
      <c r="F285" s="12" t="str">
        <f aca="false">IF($A285="","",IFERROR(INDEX(Team!$B$5:$B$64,MATCH($A285,Team!$A$5:$A$64,0)),"?"))</f>
        <v/>
      </c>
      <c r="G285" s="13" t="str">
        <f aca="false">IF($A285="","",COUNTIF($A$6:$A285,$A285)&amp;". Wunsch")</f>
        <v/>
      </c>
      <c r="H285" s="13" t="str">
        <f aca="false">IF(OR($A285="",$B285="",$C285="",$C285&lt;$B285),"",NETWORKDAYS($B285,$C285,Einstellungen!$N$7:$N$40))</f>
        <v/>
      </c>
      <c r="I285" s="12" t="str">
        <f aca="false">IF($A285="","",IF(OR($B285="",$C285=""),"Von und Bis eintragen",IF($C285&lt;$B285,"Bis liegt vor Von",IF(ISNA(MATCH($A285,Team!$A$5:$A$64,0)),"Name fehlt im Blatt Team",IF(COUNTIFS($A$6:$A$605,$A285,$B$6:$B$605,"&lt;="&amp;$C285,$C$6:$C$605,"&gt;="&amp;$B285)&gt;1,"Überschneidet sich mit eigenem Wunsch",IF(OR($B285&lt;Einstellungen!$B$3,$C285&gt;Einstellungen!$B$4),"Teils außerhalb des Planungsjahres","ok"))))))</f>
        <v/>
      </c>
      <c r="J285" s="14"/>
    </row>
    <row r="286" customFormat="false" ht="15" hidden="false" customHeight="false" outlineLevel="0" collapsed="false">
      <c r="A286" s="15"/>
      <c r="B286" s="14"/>
      <c r="C286" s="14"/>
      <c r="D286" s="15"/>
      <c r="E286" s="15"/>
      <c r="F286" s="12" t="str">
        <f aca="false">IF($A286="","",IFERROR(INDEX(Team!$B$5:$B$64,MATCH($A286,Team!$A$5:$A$64,0)),"?"))</f>
        <v/>
      </c>
      <c r="G286" s="13" t="str">
        <f aca="false">IF($A286="","",COUNTIF($A$6:$A286,$A286)&amp;". Wunsch")</f>
        <v/>
      </c>
      <c r="H286" s="13" t="str">
        <f aca="false">IF(OR($A286="",$B286="",$C286="",$C286&lt;$B286),"",NETWORKDAYS($B286,$C286,Einstellungen!$N$7:$N$40))</f>
        <v/>
      </c>
      <c r="I286" s="12" t="str">
        <f aca="false">IF($A286="","",IF(OR($B286="",$C286=""),"Von und Bis eintragen",IF($C286&lt;$B286,"Bis liegt vor Von",IF(ISNA(MATCH($A286,Team!$A$5:$A$64,0)),"Name fehlt im Blatt Team",IF(COUNTIFS($A$6:$A$605,$A286,$B$6:$B$605,"&lt;="&amp;$C286,$C$6:$C$605,"&gt;="&amp;$B286)&gt;1,"Überschneidet sich mit eigenem Wunsch",IF(OR($B286&lt;Einstellungen!$B$3,$C286&gt;Einstellungen!$B$4),"Teils außerhalb des Planungsjahres","ok"))))))</f>
        <v/>
      </c>
      <c r="J286" s="14"/>
    </row>
    <row r="287" customFormat="false" ht="15" hidden="false" customHeight="false" outlineLevel="0" collapsed="false">
      <c r="A287" s="15"/>
      <c r="B287" s="14"/>
      <c r="C287" s="14"/>
      <c r="D287" s="15"/>
      <c r="E287" s="15"/>
      <c r="F287" s="12" t="str">
        <f aca="false">IF($A287="","",IFERROR(INDEX(Team!$B$5:$B$64,MATCH($A287,Team!$A$5:$A$64,0)),"?"))</f>
        <v/>
      </c>
      <c r="G287" s="13" t="str">
        <f aca="false">IF($A287="","",COUNTIF($A$6:$A287,$A287)&amp;". Wunsch")</f>
        <v/>
      </c>
      <c r="H287" s="13" t="str">
        <f aca="false">IF(OR($A287="",$B287="",$C287="",$C287&lt;$B287),"",NETWORKDAYS($B287,$C287,Einstellungen!$N$7:$N$40))</f>
        <v/>
      </c>
      <c r="I287" s="12" t="str">
        <f aca="false">IF($A287="","",IF(OR($B287="",$C287=""),"Von und Bis eintragen",IF($C287&lt;$B287,"Bis liegt vor Von",IF(ISNA(MATCH($A287,Team!$A$5:$A$64,0)),"Name fehlt im Blatt Team",IF(COUNTIFS($A$6:$A$605,$A287,$B$6:$B$605,"&lt;="&amp;$C287,$C$6:$C$605,"&gt;="&amp;$B287)&gt;1,"Überschneidet sich mit eigenem Wunsch",IF(OR($B287&lt;Einstellungen!$B$3,$C287&gt;Einstellungen!$B$4),"Teils außerhalb des Planungsjahres","ok"))))))</f>
        <v/>
      </c>
      <c r="J287" s="14"/>
    </row>
    <row r="288" customFormat="false" ht="15" hidden="false" customHeight="false" outlineLevel="0" collapsed="false">
      <c r="A288" s="15"/>
      <c r="B288" s="14"/>
      <c r="C288" s="14"/>
      <c r="D288" s="15"/>
      <c r="E288" s="15"/>
      <c r="F288" s="12" t="str">
        <f aca="false">IF($A288="","",IFERROR(INDEX(Team!$B$5:$B$64,MATCH($A288,Team!$A$5:$A$64,0)),"?"))</f>
        <v/>
      </c>
      <c r="G288" s="13" t="str">
        <f aca="false">IF($A288="","",COUNTIF($A$6:$A288,$A288)&amp;". Wunsch")</f>
        <v/>
      </c>
      <c r="H288" s="13" t="str">
        <f aca="false">IF(OR($A288="",$B288="",$C288="",$C288&lt;$B288),"",NETWORKDAYS($B288,$C288,Einstellungen!$N$7:$N$40))</f>
        <v/>
      </c>
      <c r="I288" s="12" t="str">
        <f aca="false">IF($A288="","",IF(OR($B288="",$C288=""),"Von und Bis eintragen",IF($C288&lt;$B288,"Bis liegt vor Von",IF(ISNA(MATCH($A288,Team!$A$5:$A$64,0)),"Name fehlt im Blatt Team",IF(COUNTIFS($A$6:$A$605,$A288,$B$6:$B$605,"&lt;="&amp;$C288,$C$6:$C$605,"&gt;="&amp;$B288)&gt;1,"Überschneidet sich mit eigenem Wunsch",IF(OR($B288&lt;Einstellungen!$B$3,$C288&gt;Einstellungen!$B$4),"Teils außerhalb des Planungsjahres","ok"))))))</f>
        <v/>
      </c>
      <c r="J288" s="14"/>
    </row>
    <row r="289" customFormat="false" ht="15" hidden="false" customHeight="false" outlineLevel="0" collapsed="false">
      <c r="A289" s="15"/>
      <c r="B289" s="14"/>
      <c r="C289" s="14"/>
      <c r="D289" s="15"/>
      <c r="E289" s="15"/>
      <c r="F289" s="12" t="str">
        <f aca="false">IF($A289="","",IFERROR(INDEX(Team!$B$5:$B$64,MATCH($A289,Team!$A$5:$A$64,0)),"?"))</f>
        <v/>
      </c>
      <c r="G289" s="13" t="str">
        <f aca="false">IF($A289="","",COUNTIF($A$6:$A289,$A289)&amp;". Wunsch")</f>
        <v/>
      </c>
      <c r="H289" s="13" t="str">
        <f aca="false">IF(OR($A289="",$B289="",$C289="",$C289&lt;$B289),"",NETWORKDAYS($B289,$C289,Einstellungen!$N$7:$N$40))</f>
        <v/>
      </c>
      <c r="I289" s="12" t="str">
        <f aca="false">IF($A289="","",IF(OR($B289="",$C289=""),"Von und Bis eintragen",IF($C289&lt;$B289,"Bis liegt vor Von",IF(ISNA(MATCH($A289,Team!$A$5:$A$64,0)),"Name fehlt im Blatt Team",IF(COUNTIFS($A$6:$A$605,$A289,$B$6:$B$605,"&lt;="&amp;$C289,$C$6:$C$605,"&gt;="&amp;$B289)&gt;1,"Überschneidet sich mit eigenem Wunsch",IF(OR($B289&lt;Einstellungen!$B$3,$C289&gt;Einstellungen!$B$4),"Teils außerhalb des Planungsjahres","ok"))))))</f>
        <v/>
      </c>
      <c r="J289" s="14"/>
    </row>
    <row r="290" customFormat="false" ht="15" hidden="false" customHeight="false" outlineLevel="0" collapsed="false">
      <c r="A290" s="15"/>
      <c r="B290" s="14"/>
      <c r="C290" s="14"/>
      <c r="D290" s="15"/>
      <c r="E290" s="15"/>
      <c r="F290" s="12" t="str">
        <f aca="false">IF($A290="","",IFERROR(INDEX(Team!$B$5:$B$64,MATCH($A290,Team!$A$5:$A$64,0)),"?"))</f>
        <v/>
      </c>
      <c r="G290" s="13" t="str">
        <f aca="false">IF($A290="","",COUNTIF($A$6:$A290,$A290)&amp;". Wunsch")</f>
        <v/>
      </c>
      <c r="H290" s="13" t="str">
        <f aca="false">IF(OR($A290="",$B290="",$C290="",$C290&lt;$B290),"",NETWORKDAYS($B290,$C290,Einstellungen!$N$7:$N$40))</f>
        <v/>
      </c>
      <c r="I290" s="12" t="str">
        <f aca="false">IF($A290="","",IF(OR($B290="",$C290=""),"Von und Bis eintragen",IF($C290&lt;$B290,"Bis liegt vor Von",IF(ISNA(MATCH($A290,Team!$A$5:$A$64,0)),"Name fehlt im Blatt Team",IF(COUNTIFS($A$6:$A$605,$A290,$B$6:$B$605,"&lt;="&amp;$C290,$C$6:$C$605,"&gt;="&amp;$B290)&gt;1,"Überschneidet sich mit eigenem Wunsch",IF(OR($B290&lt;Einstellungen!$B$3,$C290&gt;Einstellungen!$B$4),"Teils außerhalb des Planungsjahres","ok"))))))</f>
        <v/>
      </c>
      <c r="J290" s="14"/>
    </row>
    <row r="291" customFormat="false" ht="15" hidden="false" customHeight="false" outlineLevel="0" collapsed="false">
      <c r="A291" s="15"/>
      <c r="B291" s="14"/>
      <c r="C291" s="14"/>
      <c r="D291" s="15"/>
      <c r="E291" s="15"/>
      <c r="F291" s="12" t="str">
        <f aca="false">IF($A291="","",IFERROR(INDEX(Team!$B$5:$B$64,MATCH($A291,Team!$A$5:$A$64,0)),"?"))</f>
        <v/>
      </c>
      <c r="G291" s="13" t="str">
        <f aca="false">IF($A291="","",COUNTIF($A$6:$A291,$A291)&amp;". Wunsch")</f>
        <v/>
      </c>
      <c r="H291" s="13" t="str">
        <f aca="false">IF(OR($A291="",$B291="",$C291="",$C291&lt;$B291),"",NETWORKDAYS($B291,$C291,Einstellungen!$N$7:$N$40))</f>
        <v/>
      </c>
      <c r="I291" s="12" t="str">
        <f aca="false">IF($A291="","",IF(OR($B291="",$C291=""),"Von und Bis eintragen",IF($C291&lt;$B291,"Bis liegt vor Von",IF(ISNA(MATCH($A291,Team!$A$5:$A$64,0)),"Name fehlt im Blatt Team",IF(COUNTIFS($A$6:$A$605,$A291,$B$6:$B$605,"&lt;="&amp;$C291,$C$6:$C$605,"&gt;="&amp;$B291)&gt;1,"Überschneidet sich mit eigenem Wunsch",IF(OR($B291&lt;Einstellungen!$B$3,$C291&gt;Einstellungen!$B$4),"Teils außerhalb des Planungsjahres","ok"))))))</f>
        <v/>
      </c>
      <c r="J291" s="14"/>
    </row>
    <row r="292" customFormat="false" ht="15" hidden="false" customHeight="false" outlineLevel="0" collapsed="false">
      <c r="A292" s="15"/>
      <c r="B292" s="14"/>
      <c r="C292" s="14"/>
      <c r="D292" s="15"/>
      <c r="E292" s="15"/>
      <c r="F292" s="12" t="str">
        <f aca="false">IF($A292="","",IFERROR(INDEX(Team!$B$5:$B$64,MATCH($A292,Team!$A$5:$A$64,0)),"?"))</f>
        <v/>
      </c>
      <c r="G292" s="13" t="str">
        <f aca="false">IF($A292="","",COUNTIF($A$6:$A292,$A292)&amp;". Wunsch")</f>
        <v/>
      </c>
      <c r="H292" s="13" t="str">
        <f aca="false">IF(OR($A292="",$B292="",$C292="",$C292&lt;$B292),"",NETWORKDAYS($B292,$C292,Einstellungen!$N$7:$N$40))</f>
        <v/>
      </c>
      <c r="I292" s="12" t="str">
        <f aca="false">IF($A292="","",IF(OR($B292="",$C292=""),"Von und Bis eintragen",IF($C292&lt;$B292,"Bis liegt vor Von",IF(ISNA(MATCH($A292,Team!$A$5:$A$64,0)),"Name fehlt im Blatt Team",IF(COUNTIFS($A$6:$A$605,$A292,$B$6:$B$605,"&lt;="&amp;$C292,$C$6:$C$605,"&gt;="&amp;$B292)&gt;1,"Überschneidet sich mit eigenem Wunsch",IF(OR($B292&lt;Einstellungen!$B$3,$C292&gt;Einstellungen!$B$4),"Teils außerhalb des Planungsjahres","ok"))))))</f>
        <v/>
      </c>
      <c r="J292" s="14"/>
    </row>
    <row r="293" customFormat="false" ht="15" hidden="false" customHeight="false" outlineLevel="0" collapsed="false">
      <c r="A293" s="15"/>
      <c r="B293" s="14"/>
      <c r="C293" s="14"/>
      <c r="D293" s="15"/>
      <c r="E293" s="15"/>
      <c r="F293" s="12" t="str">
        <f aca="false">IF($A293="","",IFERROR(INDEX(Team!$B$5:$B$64,MATCH($A293,Team!$A$5:$A$64,0)),"?"))</f>
        <v/>
      </c>
      <c r="G293" s="13" t="str">
        <f aca="false">IF($A293="","",COUNTIF($A$6:$A293,$A293)&amp;". Wunsch")</f>
        <v/>
      </c>
      <c r="H293" s="13" t="str">
        <f aca="false">IF(OR($A293="",$B293="",$C293="",$C293&lt;$B293),"",NETWORKDAYS($B293,$C293,Einstellungen!$N$7:$N$40))</f>
        <v/>
      </c>
      <c r="I293" s="12" t="str">
        <f aca="false">IF($A293="","",IF(OR($B293="",$C293=""),"Von und Bis eintragen",IF($C293&lt;$B293,"Bis liegt vor Von",IF(ISNA(MATCH($A293,Team!$A$5:$A$64,0)),"Name fehlt im Blatt Team",IF(COUNTIFS($A$6:$A$605,$A293,$B$6:$B$605,"&lt;="&amp;$C293,$C$6:$C$605,"&gt;="&amp;$B293)&gt;1,"Überschneidet sich mit eigenem Wunsch",IF(OR($B293&lt;Einstellungen!$B$3,$C293&gt;Einstellungen!$B$4),"Teils außerhalb des Planungsjahres","ok"))))))</f>
        <v/>
      </c>
      <c r="J293" s="14"/>
    </row>
    <row r="294" customFormat="false" ht="15" hidden="false" customHeight="false" outlineLevel="0" collapsed="false">
      <c r="A294" s="15"/>
      <c r="B294" s="14"/>
      <c r="C294" s="14"/>
      <c r="D294" s="15"/>
      <c r="E294" s="15"/>
      <c r="F294" s="12" t="str">
        <f aca="false">IF($A294="","",IFERROR(INDEX(Team!$B$5:$B$64,MATCH($A294,Team!$A$5:$A$64,0)),"?"))</f>
        <v/>
      </c>
      <c r="G294" s="13" t="str">
        <f aca="false">IF($A294="","",COUNTIF($A$6:$A294,$A294)&amp;". Wunsch")</f>
        <v/>
      </c>
      <c r="H294" s="13" t="str">
        <f aca="false">IF(OR($A294="",$B294="",$C294="",$C294&lt;$B294),"",NETWORKDAYS($B294,$C294,Einstellungen!$N$7:$N$40))</f>
        <v/>
      </c>
      <c r="I294" s="12" t="str">
        <f aca="false">IF($A294="","",IF(OR($B294="",$C294=""),"Von und Bis eintragen",IF($C294&lt;$B294,"Bis liegt vor Von",IF(ISNA(MATCH($A294,Team!$A$5:$A$64,0)),"Name fehlt im Blatt Team",IF(COUNTIFS($A$6:$A$605,$A294,$B$6:$B$605,"&lt;="&amp;$C294,$C$6:$C$605,"&gt;="&amp;$B294)&gt;1,"Überschneidet sich mit eigenem Wunsch",IF(OR($B294&lt;Einstellungen!$B$3,$C294&gt;Einstellungen!$B$4),"Teils außerhalb des Planungsjahres","ok"))))))</f>
        <v/>
      </c>
      <c r="J294" s="14"/>
    </row>
    <row r="295" customFormat="false" ht="15" hidden="false" customHeight="false" outlineLevel="0" collapsed="false">
      <c r="A295" s="15"/>
      <c r="B295" s="14"/>
      <c r="C295" s="14"/>
      <c r="D295" s="15"/>
      <c r="E295" s="15"/>
      <c r="F295" s="12" t="str">
        <f aca="false">IF($A295="","",IFERROR(INDEX(Team!$B$5:$B$64,MATCH($A295,Team!$A$5:$A$64,0)),"?"))</f>
        <v/>
      </c>
      <c r="G295" s="13" t="str">
        <f aca="false">IF($A295="","",COUNTIF($A$6:$A295,$A295)&amp;". Wunsch")</f>
        <v/>
      </c>
      <c r="H295" s="13" t="str">
        <f aca="false">IF(OR($A295="",$B295="",$C295="",$C295&lt;$B295),"",NETWORKDAYS($B295,$C295,Einstellungen!$N$7:$N$40))</f>
        <v/>
      </c>
      <c r="I295" s="12" t="str">
        <f aca="false">IF($A295="","",IF(OR($B295="",$C295=""),"Von und Bis eintragen",IF($C295&lt;$B295,"Bis liegt vor Von",IF(ISNA(MATCH($A295,Team!$A$5:$A$64,0)),"Name fehlt im Blatt Team",IF(COUNTIFS($A$6:$A$605,$A295,$B$6:$B$605,"&lt;="&amp;$C295,$C$6:$C$605,"&gt;="&amp;$B295)&gt;1,"Überschneidet sich mit eigenem Wunsch",IF(OR($B295&lt;Einstellungen!$B$3,$C295&gt;Einstellungen!$B$4),"Teils außerhalb des Planungsjahres","ok"))))))</f>
        <v/>
      </c>
      <c r="J295" s="14"/>
    </row>
    <row r="296" customFormat="false" ht="15" hidden="false" customHeight="false" outlineLevel="0" collapsed="false">
      <c r="A296" s="15"/>
      <c r="B296" s="14"/>
      <c r="C296" s="14"/>
      <c r="D296" s="15"/>
      <c r="E296" s="15"/>
      <c r="F296" s="12" t="str">
        <f aca="false">IF($A296="","",IFERROR(INDEX(Team!$B$5:$B$64,MATCH($A296,Team!$A$5:$A$64,0)),"?"))</f>
        <v/>
      </c>
      <c r="G296" s="13" t="str">
        <f aca="false">IF($A296="","",COUNTIF($A$6:$A296,$A296)&amp;". Wunsch")</f>
        <v/>
      </c>
      <c r="H296" s="13" t="str">
        <f aca="false">IF(OR($A296="",$B296="",$C296="",$C296&lt;$B296),"",NETWORKDAYS($B296,$C296,Einstellungen!$N$7:$N$40))</f>
        <v/>
      </c>
      <c r="I296" s="12" t="str">
        <f aca="false">IF($A296="","",IF(OR($B296="",$C296=""),"Von und Bis eintragen",IF($C296&lt;$B296,"Bis liegt vor Von",IF(ISNA(MATCH($A296,Team!$A$5:$A$64,0)),"Name fehlt im Blatt Team",IF(COUNTIFS($A$6:$A$605,$A296,$B$6:$B$605,"&lt;="&amp;$C296,$C$6:$C$605,"&gt;="&amp;$B296)&gt;1,"Überschneidet sich mit eigenem Wunsch",IF(OR($B296&lt;Einstellungen!$B$3,$C296&gt;Einstellungen!$B$4),"Teils außerhalb des Planungsjahres","ok"))))))</f>
        <v/>
      </c>
      <c r="J296" s="14"/>
    </row>
    <row r="297" customFormat="false" ht="15" hidden="false" customHeight="false" outlineLevel="0" collapsed="false">
      <c r="A297" s="15"/>
      <c r="B297" s="14"/>
      <c r="C297" s="14"/>
      <c r="D297" s="15"/>
      <c r="E297" s="15"/>
      <c r="F297" s="12" t="str">
        <f aca="false">IF($A297="","",IFERROR(INDEX(Team!$B$5:$B$64,MATCH($A297,Team!$A$5:$A$64,0)),"?"))</f>
        <v/>
      </c>
      <c r="G297" s="13" t="str">
        <f aca="false">IF($A297="","",COUNTIF($A$6:$A297,$A297)&amp;". Wunsch")</f>
        <v/>
      </c>
      <c r="H297" s="13" t="str">
        <f aca="false">IF(OR($A297="",$B297="",$C297="",$C297&lt;$B297),"",NETWORKDAYS($B297,$C297,Einstellungen!$N$7:$N$40))</f>
        <v/>
      </c>
      <c r="I297" s="12" t="str">
        <f aca="false">IF($A297="","",IF(OR($B297="",$C297=""),"Von und Bis eintragen",IF($C297&lt;$B297,"Bis liegt vor Von",IF(ISNA(MATCH($A297,Team!$A$5:$A$64,0)),"Name fehlt im Blatt Team",IF(COUNTIFS($A$6:$A$605,$A297,$B$6:$B$605,"&lt;="&amp;$C297,$C$6:$C$605,"&gt;="&amp;$B297)&gt;1,"Überschneidet sich mit eigenem Wunsch",IF(OR($B297&lt;Einstellungen!$B$3,$C297&gt;Einstellungen!$B$4),"Teils außerhalb des Planungsjahres","ok"))))))</f>
        <v/>
      </c>
      <c r="J297" s="14"/>
    </row>
    <row r="298" customFormat="false" ht="15" hidden="false" customHeight="false" outlineLevel="0" collapsed="false">
      <c r="A298" s="15"/>
      <c r="B298" s="14"/>
      <c r="C298" s="14"/>
      <c r="D298" s="15"/>
      <c r="E298" s="15"/>
      <c r="F298" s="12" t="str">
        <f aca="false">IF($A298="","",IFERROR(INDEX(Team!$B$5:$B$64,MATCH($A298,Team!$A$5:$A$64,0)),"?"))</f>
        <v/>
      </c>
      <c r="G298" s="13" t="str">
        <f aca="false">IF($A298="","",COUNTIF($A$6:$A298,$A298)&amp;". Wunsch")</f>
        <v/>
      </c>
      <c r="H298" s="13" t="str">
        <f aca="false">IF(OR($A298="",$B298="",$C298="",$C298&lt;$B298),"",NETWORKDAYS($B298,$C298,Einstellungen!$N$7:$N$40))</f>
        <v/>
      </c>
      <c r="I298" s="12" t="str">
        <f aca="false">IF($A298="","",IF(OR($B298="",$C298=""),"Von und Bis eintragen",IF($C298&lt;$B298,"Bis liegt vor Von",IF(ISNA(MATCH($A298,Team!$A$5:$A$64,0)),"Name fehlt im Blatt Team",IF(COUNTIFS($A$6:$A$605,$A298,$B$6:$B$605,"&lt;="&amp;$C298,$C$6:$C$605,"&gt;="&amp;$B298)&gt;1,"Überschneidet sich mit eigenem Wunsch",IF(OR($B298&lt;Einstellungen!$B$3,$C298&gt;Einstellungen!$B$4),"Teils außerhalb des Planungsjahres","ok"))))))</f>
        <v/>
      </c>
      <c r="J298" s="14"/>
    </row>
    <row r="299" customFormat="false" ht="15" hidden="false" customHeight="false" outlineLevel="0" collapsed="false">
      <c r="A299" s="15"/>
      <c r="B299" s="14"/>
      <c r="C299" s="14"/>
      <c r="D299" s="15"/>
      <c r="E299" s="15"/>
      <c r="F299" s="12" t="str">
        <f aca="false">IF($A299="","",IFERROR(INDEX(Team!$B$5:$B$64,MATCH($A299,Team!$A$5:$A$64,0)),"?"))</f>
        <v/>
      </c>
      <c r="G299" s="13" t="str">
        <f aca="false">IF($A299="","",COUNTIF($A$6:$A299,$A299)&amp;". Wunsch")</f>
        <v/>
      </c>
      <c r="H299" s="13" t="str">
        <f aca="false">IF(OR($A299="",$B299="",$C299="",$C299&lt;$B299),"",NETWORKDAYS($B299,$C299,Einstellungen!$N$7:$N$40))</f>
        <v/>
      </c>
      <c r="I299" s="12" t="str">
        <f aca="false">IF($A299="","",IF(OR($B299="",$C299=""),"Von und Bis eintragen",IF($C299&lt;$B299,"Bis liegt vor Von",IF(ISNA(MATCH($A299,Team!$A$5:$A$64,0)),"Name fehlt im Blatt Team",IF(COUNTIFS($A$6:$A$605,$A299,$B$6:$B$605,"&lt;="&amp;$C299,$C$6:$C$605,"&gt;="&amp;$B299)&gt;1,"Überschneidet sich mit eigenem Wunsch",IF(OR($B299&lt;Einstellungen!$B$3,$C299&gt;Einstellungen!$B$4),"Teils außerhalb des Planungsjahres","ok"))))))</f>
        <v/>
      </c>
      <c r="J299" s="14"/>
    </row>
    <row r="300" customFormat="false" ht="15" hidden="false" customHeight="false" outlineLevel="0" collapsed="false">
      <c r="A300" s="15"/>
      <c r="B300" s="14"/>
      <c r="C300" s="14"/>
      <c r="D300" s="15"/>
      <c r="E300" s="15"/>
      <c r="F300" s="12" t="str">
        <f aca="false">IF($A300="","",IFERROR(INDEX(Team!$B$5:$B$64,MATCH($A300,Team!$A$5:$A$64,0)),"?"))</f>
        <v/>
      </c>
      <c r="G300" s="13" t="str">
        <f aca="false">IF($A300="","",COUNTIF($A$6:$A300,$A300)&amp;". Wunsch")</f>
        <v/>
      </c>
      <c r="H300" s="13" t="str">
        <f aca="false">IF(OR($A300="",$B300="",$C300="",$C300&lt;$B300),"",NETWORKDAYS($B300,$C300,Einstellungen!$N$7:$N$40))</f>
        <v/>
      </c>
      <c r="I300" s="12" t="str">
        <f aca="false">IF($A300="","",IF(OR($B300="",$C300=""),"Von und Bis eintragen",IF($C300&lt;$B300,"Bis liegt vor Von",IF(ISNA(MATCH($A300,Team!$A$5:$A$64,0)),"Name fehlt im Blatt Team",IF(COUNTIFS($A$6:$A$605,$A300,$B$6:$B$605,"&lt;="&amp;$C300,$C$6:$C$605,"&gt;="&amp;$B300)&gt;1,"Überschneidet sich mit eigenem Wunsch",IF(OR($B300&lt;Einstellungen!$B$3,$C300&gt;Einstellungen!$B$4),"Teils außerhalb des Planungsjahres","ok"))))))</f>
        <v/>
      </c>
      <c r="J300" s="14"/>
    </row>
    <row r="301" customFormat="false" ht="15" hidden="false" customHeight="false" outlineLevel="0" collapsed="false">
      <c r="A301" s="15"/>
      <c r="B301" s="14"/>
      <c r="C301" s="14"/>
      <c r="D301" s="15"/>
      <c r="E301" s="15"/>
      <c r="F301" s="12" t="str">
        <f aca="false">IF($A301="","",IFERROR(INDEX(Team!$B$5:$B$64,MATCH($A301,Team!$A$5:$A$64,0)),"?"))</f>
        <v/>
      </c>
      <c r="G301" s="13" t="str">
        <f aca="false">IF($A301="","",COUNTIF($A$6:$A301,$A301)&amp;". Wunsch")</f>
        <v/>
      </c>
      <c r="H301" s="13" t="str">
        <f aca="false">IF(OR($A301="",$B301="",$C301="",$C301&lt;$B301),"",NETWORKDAYS($B301,$C301,Einstellungen!$N$7:$N$40))</f>
        <v/>
      </c>
      <c r="I301" s="12" t="str">
        <f aca="false">IF($A301="","",IF(OR($B301="",$C301=""),"Von und Bis eintragen",IF($C301&lt;$B301,"Bis liegt vor Von",IF(ISNA(MATCH($A301,Team!$A$5:$A$64,0)),"Name fehlt im Blatt Team",IF(COUNTIFS($A$6:$A$605,$A301,$B$6:$B$605,"&lt;="&amp;$C301,$C$6:$C$605,"&gt;="&amp;$B301)&gt;1,"Überschneidet sich mit eigenem Wunsch",IF(OR($B301&lt;Einstellungen!$B$3,$C301&gt;Einstellungen!$B$4),"Teils außerhalb des Planungsjahres","ok"))))))</f>
        <v/>
      </c>
      <c r="J301" s="14"/>
    </row>
    <row r="302" customFormat="false" ht="15" hidden="false" customHeight="false" outlineLevel="0" collapsed="false">
      <c r="A302" s="15"/>
      <c r="B302" s="14"/>
      <c r="C302" s="14"/>
      <c r="D302" s="15"/>
      <c r="E302" s="15"/>
      <c r="F302" s="12" t="str">
        <f aca="false">IF($A302="","",IFERROR(INDEX(Team!$B$5:$B$64,MATCH($A302,Team!$A$5:$A$64,0)),"?"))</f>
        <v/>
      </c>
      <c r="G302" s="13" t="str">
        <f aca="false">IF($A302="","",COUNTIF($A$6:$A302,$A302)&amp;". Wunsch")</f>
        <v/>
      </c>
      <c r="H302" s="13" t="str">
        <f aca="false">IF(OR($A302="",$B302="",$C302="",$C302&lt;$B302),"",NETWORKDAYS($B302,$C302,Einstellungen!$N$7:$N$40))</f>
        <v/>
      </c>
      <c r="I302" s="12" t="str">
        <f aca="false">IF($A302="","",IF(OR($B302="",$C302=""),"Von und Bis eintragen",IF($C302&lt;$B302,"Bis liegt vor Von",IF(ISNA(MATCH($A302,Team!$A$5:$A$64,0)),"Name fehlt im Blatt Team",IF(COUNTIFS($A$6:$A$605,$A302,$B$6:$B$605,"&lt;="&amp;$C302,$C$6:$C$605,"&gt;="&amp;$B302)&gt;1,"Überschneidet sich mit eigenem Wunsch",IF(OR($B302&lt;Einstellungen!$B$3,$C302&gt;Einstellungen!$B$4),"Teils außerhalb des Planungsjahres","ok"))))))</f>
        <v/>
      </c>
      <c r="J302" s="14"/>
    </row>
    <row r="303" customFormat="false" ht="15" hidden="false" customHeight="false" outlineLevel="0" collapsed="false">
      <c r="A303" s="15"/>
      <c r="B303" s="14"/>
      <c r="C303" s="14"/>
      <c r="D303" s="15"/>
      <c r="E303" s="15"/>
      <c r="F303" s="12" t="str">
        <f aca="false">IF($A303="","",IFERROR(INDEX(Team!$B$5:$B$64,MATCH($A303,Team!$A$5:$A$64,0)),"?"))</f>
        <v/>
      </c>
      <c r="G303" s="13" t="str">
        <f aca="false">IF($A303="","",COUNTIF($A$6:$A303,$A303)&amp;". Wunsch")</f>
        <v/>
      </c>
      <c r="H303" s="13" t="str">
        <f aca="false">IF(OR($A303="",$B303="",$C303="",$C303&lt;$B303),"",NETWORKDAYS($B303,$C303,Einstellungen!$N$7:$N$40))</f>
        <v/>
      </c>
      <c r="I303" s="12" t="str">
        <f aca="false">IF($A303="","",IF(OR($B303="",$C303=""),"Von und Bis eintragen",IF($C303&lt;$B303,"Bis liegt vor Von",IF(ISNA(MATCH($A303,Team!$A$5:$A$64,0)),"Name fehlt im Blatt Team",IF(COUNTIFS($A$6:$A$605,$A303,$B$6:$B$605,"&lt;="&amp;$C303,$C$6:$C$605,"&gt;="&amp;$B303)&gt;1,"Überschneidet sich mit eigenem Wunsch",IF(OR($B303&lt;Einstellungen!$B$3,$C303&gt;Einstellungen!$B$4),"Teils außerhalb des Planungsjahres","ok"))))))</f>
        <v/>
      </c>
      <c r="J303" s="14"/>
    </row>
    <row r="304" customFormat="false" ht="15" hidden="false" customHeight="false" outlineLevel="0" collapsed="false">
      <c r="A304" s="15"/>
      <c r="B304" s="14"/>
      <c r="C304" s="14"/>
      <c r="D304" s="15"/>
      <c r="E304" s="15"/>
      <c r="F304" s="12" t="str">
        <f aca="false">IF($A304="","",IFERROR(INDEX(Team!$B$5:$B$64,MATCH($A304,Team!$A$5:$A$64,0)),"?"))</f>
        <v/>
      </c>
      <c r="G304" s="13" t="str">
        <f aca="false">IF($A304="","",COUNTIF($A$6:$A304,$A304)&amp;". Wunsch")</f>
        <v/>
      </c>
      <c r="H304" s="13" t="str">
        <f aca="false">IF(OR($A304="",$B304="",$C304="",$C304&lt;$B304),"",NETWORKDAYS($B304,$C304,Einstellungen!$N$7:$N$40))</f>
        <v/>
      </c>
      <c r="I304" s="12" t="str">
        <f aca="false">IF($A304="","",IF(OR($B304="",$C304=""),"Von und Bis eintragen",IF($C304&lt;$B304,"Bis liegt vor Von",IF(ISNA(MATCH($A304,Team!$A$5:$A$64,0)),"Name fehlt im Blatt Team",IF(COUNTIFS($A$6:$A$605,$A304,$B$6:$B$605,"&lt;="&amp;$C304,$C$6:$C$605,"&gt;="&amp;$B304)&gt;1,"Überschneidet sich mit eigenem Wunsch",IF(OR($B304&lt;Einstellungen!$B$3,$C304&gt;Einstellungen!$B$4),"Teils außerhalb des Planungsjahres","ok"))))))</f>
        <v/>
      </c>
      <c r="J304" s="14"/>
    </row>
    <row r="305" customFormat="false" ht="15" hidden="false" customHeight="false" outlineLevel="0" collapsed="false">
      <c r="A305" s="15"/>
      <c r="B305" s="14"/>
      <c r="C305" s="14"/>
      <c r="D305" s="15"/>
      <c r="E305" s="15"/>
      <c r="F305" s="12" t="str">
        <f aca="false">IF($A305="","",IFERROR(INDEX(Team!$B$5:$B$64,MATCH($A305,Team!$A$5:$A$64,0)),"?"))</f>
        <v/>
      </c>
      <c r="G305" s="13" t="str">
        <f aca="false">IF($A305="","",COUNTIF($A$6:$A305,$A305)&amp;". Wunsch")</f>
        <v/>
      </c>
      <c r="H305" s="13" t="str">
        <f aca="false">IF(OR($A305="",$B305="",$C305="",$C305&lt;$B305),"",NETWORKDAYS($B305,$C305,Einstellungen!$N$7:$N$40))</f>
        <v/>
      </c>
      <c r="I305" s="12" t="str">
        <f aca="false">IF($A305="","",IF(OR($B305="",$C305=""),"Von und Bis eintragen",IF($C305&lt;$B305,"Bis liegt vor Von",IF(ISNA(MATCH($A305,Team!$A$5:$A$64,0)),"Name fehlt im Blatt Team",IF(COUNTIFS($A$6:$A$605,$A305,$B$6:$B$605,"&lt;="&amp;$C305,$C$6:$C$605,"&gt;="&amp;$B305)&gt;1,"Überschneidet sich mit eigenem Wunsch",IF(OR($B305&lt;Einstellungen!$B$3,$C305&gt;Einstellungen!$B$4),"Teils außerhalb des Planungsjahres","ok"))))))</f>
        <v/>
      </c>
      <c r="J305" s="14"/>
    </row>
    <row r="306" customFormat="false" ht="15" hidden="false" customHeight="false" outlineLevel="0" collapsed="false">
      <c r="A306" s="15"/>
      <c r="B306" s="14"/>
      <c r="C306" s="14"/>
      <c r="D306" s="15"/>
      <c r="E306" s="15"/>
      <c r="F306" s="12" t="str">
        <f aca="false">IF($A306="","",IFERROR(INDEX(Team!$B$5:$B$64,MATCH($A306,Team!$A$5:$A$64,0)),"?"))</f>
        <v/>
      </c>
      <c r="G306" s="13" t="str">
        <f aca="false">IF($A306="","",COUNTIF($A$6:$A306,$A306)&amp;". Wunsch")</f>
        <v/>
      </c>
      <c r="H306" s="13" t="str">
        <f aca="false">IF(OR($A306="",$B306="",$C306="",$C306&lt;$B306),"",NETWORKDAYS($B306,$C306,Einstellungen!$N$7:$N$40))</f>
        <v/>
      </c>
      <c r="I306" s="12" t="str">
        <f aca="false">IF($A306="","",IF(OR($B306="",$C306=""),"Von und Bis eintragen",IF($C306&lt;$B306,"Bis liegt vor Von",IF(ISNA(MATCH($A306,Team!$A$5:$A$64,0)),"Name fehlt im Blatt Team",IF(COUNTIFS($A$6:$A$605,$A306,$B$6:$B$605,"&lt;="&amp;$C306,$C$6:$C$605,"&gt;="&amp;$B306)&gt;1,"Überschneidet sich mit eigenem Wunsch",IF(OR($B306&lt;Einstellungen!$B$3,$C306&gt;Einstellungen!$B$4),"Teils außerhalb des Planungsjahres","ok"))))))</f>
        <v/>
      </c>
      <c r="J306" s="14"/>
    </row>
    <row r="307" customFormat="false" ht="15" hidden="false" customHeight="false" outlineLevel="0" collapsed="false">
      <c r="A307" s="15"/>
      <c r="B307" s="14"/>
      <c r="C307" s="14"/>
      <c r="D307" s="15"/>
      <c r="E307" s="15"/>
      <c r="F307" s="12" t="str">
        <f aca="false">IF($A307="","",IFERROR(INDEX(Team!$B$5:$B$64,MATCH($A307,Team!$A$5:$A$64,0)),"?"))</f>
        <v/>
      </c>
      <c r="G307" s="13" t="str">
        <f aca="false">IF($A307="","",COUNTIF($A$6:$A307,$A307)&amp;". Wunsch")</f>
        <v/>
      </c>
      <c r="H307" s="13" t="str">
        <f aca="false">IF(OR($A307="",$B307="",$C307="",$C307&lt;$B307),"",NETWORKDAYS($B307,$C307,Einstellungen!$N$7:$N$40))</f>
        <v/>
      </c>
      <c r="I307" s="12" t="str">
        <f aca="false">IF($A307="","",IF(OR($B307="",$C307=""),"Von und Bis eintragen",IF($C307&lt;$B307,"Bis liegt vor Von",IF(ISNA(MATCH($A307,Team!$A$5:$A$64,0)),"Name fehlt im Blatt Team",IF(COUNTIFS($A$6:$A$605,$A307,$B$6:$B$605,"&lt;="&amp;$C307,$C$6:$C$605,"&gt;="&amp;$B307)&gt;1,"Überschneidet sich mit eigenem Wunsch",IF(OR($B307&lt;Einstellungen!$B$3,$C307&gt;Einstellungen!$B$4),"Teils außerhalb des Planungsjahres","ok"))))))</f>
        <v/>
      </c>
      <c r="J307" s="14"/>
    </row>
    <row r="308" customFormat="false" ht="15" hidden="false" customHeight="false" outlineLevel="0" collapsed="false">
      <c r="A308" s="15"/>
      <c r="B308" s="14"/>
      <c r="C308" s="14"/>
      <c r="D308" s="15"/>
      <c r="E308" s="15"/>
      <c r="F308" s="12" t="str">
        <f aca="false">IF($A308="","",IFERROR(INDEX(Team!$B$5:$B$64,MATCH($A308,Team!$A$5:$A$64,0)),"?"))</f>
        <v/>
      </c>
      <c r="G308" s="13" t="str">
        <f aca="false">IF($A308="","",COUNTIF($A$6:$A308,$A308)&amp;". Wunsch")</f>
        <v/>
      </c>
      <c r="H308" s="13" t="str">
        <f aca="false">IF(OR($A308="",$B308="",$C308="",$C308&lt;$B308),"",NETWORKDAYS($B308,$C308,Einstellungen!$N$7:$N$40))</f>
        <v/>
      </c>
      <c r="I308" s="12" t="str">
        <f aca="false">IF($A308="","",IF(OR($B308="",$C308=""),"Von und Bis eintragen",IF($C308&lt;$B308,"Bis liegt vor Von",IF(ISNA(MATCH($A308,Team!$A$5:$A$64,0)),"Name fehlt im Blatt Team",IF(COUNTIFS($A$6:$A$605,$A308,$B$6:$B$605,"&lt;="&amp;$C308,$C$6:$C$605,"&gt;="&amp;$B308)&gt;1,"Überschneidet sich mit eigenem Wunsch",IF(OR($B308&lt;Einstellungen!$B$3,$C308&gt;Einstellungen!$B$4),"Teils außerhalb des Planungsjahres","ok"))))))</f>
        <v/>
      </c>
      <c r="J308" s="14"/>
    </row>
    <row r="309" customFormat="false" ht="15" hidden="false" customHeight="false" outlineLevel="0" collapsed="false">
      <c r="A309" s="15"/>
      <c r="B309" s="14"/>
      <c r="C309" s="14"/>
      <c r="D309" s="15"/>
      <c r="E309" s="15"/>
      <c r="F309" s="12" t="str">
        <f aca="false">IF($A309="","",IFERROR(INDEX(Team!$B$5:$B$64,MATCH($A309,Team!$A$5:$A$64,0)),"?"))</f>
        <v/>
      </c>
      <c r="G309" s="13" t="str">
        <f aca="false">IF($A309="","",COUNTIF($A$6:$A309,$A309)&amp;". Wunsch")</f>
        <v/>
      </c>
      <c r="H309" s="13" t="str">
        <f aca="false">IF(OR($A309="",$B309="",$C309="",$C309&lt;$B309),"",NETWORKDAYS($B309,$C309,Einstellungen!$N$7:$N$40))</f>
        <v/>
      </c>
      <c r="I309" s="12" t="str">
        <f aca="false">IF($A309="","",IF(OR($B309="",$C309=""),"Von und Bis eintragen",IF($C309&lt;$B309,"Bis liegt vor Von",IF(ISNA(MATCH($A309,Team!$A$5:$A$64,0)),"Name fehlt im Blatt Team",IF(COUNTIFS($A$6:$A$605,$A309,$B$6:$B$605,"&lt;="&amp;$C309,$C$6:$C$605,"&gt;="&amp;$B309)&gt;1,"Überschneidet sich mit eigenem Wunsch",IF(OR($B309&lt;Einstellungen!$B$3,$C309&gt;Einstellungen!$B$4),"Teils außerhalb des Planungsjahres","ok"))))))</f>
        <v/>
      </c>
      <c r="J309" s="14"/>
    </row>
    <row r="310" customFormat="false" ht="15" hidden="false" customHeight="false" outlineLevel="0" collapsed="false">
      <c r="A310" s="15"/>
      <c r="B310" s="14"/>
      <c r="C310" s="14"/>
      <c r="D310" s="15"/>
      <c r="E310" s="15"/>
      <c r="F310" s="12" t="str">
        <f aca="false">IF($A310="","",IFERROR(INDEX(Team!$B$5:$B$64,MATCH($A310,Team!$A$5:$A$64,0)),"?"))</f>
        <v/>
      </c>
      <c r="G310" s="13" t="str">
        <f aca="false">IF($A310="","",COUNTIF($A$6:$A310,$A310)&amp;". Wunsch")</f>
        <v/>
      </c>
      <c r="H310" s="13" t="str">
        <f aca="false">IF(OR($A310="",$B310="",$C310="",$C310&lt;$B310),"",NETWORKDAYS($B310,$C310,Einstellungen!$N$7:$N$40))</f>
        <v/>
      </c>
      <c r="I310" s="12" t="str">
        <f aca="false">IF($A310="","",IF(OR($B310="",$C310=""),"Von und Bis eintragen",IF($C310&lt;$B310,"Bis liegt vor Von",IF(ISNA(MATCH($A310,Team!$A$5:$A$64,0)),"Name fehlt im Blatt Team",IF(COUNTIFS($A$6:$A$605,$A310,$B$6:$B$605,"&lt;="&amp;$C310,$C$6:$C$605,"&gt;="&amp;$B310)&gt;1,"Überschneidet sich mit eigenem Wunsch",IF(OR($B310&lt;Einstellungen!$B$3,$C310&gt;Einstellungen!$B$4),"Teils außerhalb des Planungsjahres","ok"))))))</f>
        <v/>
      </c>
      <c r="J310" s="14"/>
    </row>
    <row r="311" customFormat="false" ht="15" hidden="false" customHeight="false" outlineLevel="0" collapsed="false">
      <c r="A311" s="15"/>
      <c r="B311" s="14"/>
      <c r="C311" s="14"/>
      <c r="D311" s="15"/>
      <c r="E311" s="15"/>
      <c r="F311" s="12" t="str">
        <f aca="false">IF($A311="","",IFERROR(INDEX(Team!$B$5:$B$64,MATCH($A311,Team!$A$5:$A$64,0)),"?"))</f>
        <v/>
      </c>
      <c r="G311" s="13" t="str">
        <f aca="false">IF($A311="","",COUNTIF($A$6:$A311,$A311)&amp;". Wunsch")</f>
        <v/>
      </c>
      <c r="H311" s="13" t="str">
        <f aca="false">IF(OR($A311="",$B311="",$C311="",$C311&lt;$B311),"",NETWORKDAYS($B311,$C311,Einstellungen!$N$7:$N$40))</f>
        <v/>
      </c>
      <c r="I311" s="12" t="str">
        <f aca="false">IF($A311="","",IF(OR($B311="",$C311=""),"Von und Bis eintragen",IF($C311&lt;$B311,"Bis liegt vor Von",IF(ISNA(MATCH($A311,Team!$A$5:$A$64,0)),"Name fehlt im Blatt Team",IF(COUNTIFS($A$6:$A$605,$A311,$B$6:$B$605,"&lt;="&amp;$C311,$C$6:$C$605,"&gt;="&amp;$B311)&gt;1,"Überschneidet sich mit eigenem Wunsch",IF(OR($B311&lt;Einstellungen!$B$3,$C311&gt;Einstellungen!$B$4),"Teils außerhalb des Planungsjahres","ok"))))))</f>
        <v/>
      </c>
      <c r="J311" s="14"/>
    </row>
    <row r="312" customFormat="false" ht="15" hidden="false" customHeight="false" outlineLevel="0" collapsed="false">
      <c r="A312" s="15"/>
      <c r="B312" s="14"/>
      <c r="C312" s="14"/>
      <c r="D312" s="15"/>
      <c r="E312" s="15"/>
      <c r="F312" s="12" t="str">
        <f aca="false">IF($A312="","",IFERROR(INDEX(Team!$B$5:$B$64,MATCH($A312,Team!$A$5:$A$64,0)),"?"))</f>
        <v/>
      </c>
      <c r="G312" s="13" t="str">
        <f aca="false">IF($A312="","",COUNTIF($A$6:$A312,$A312)&amp;". Wunsch")</f>
        <v/>
      </c>
      <c r="H312" s="13" t="str">
        <f aca="false">IF(OR($A312="",$B312="",$C312="",$C312&lt;$B312),"",NETWORKDAYS($B312,$C312,Einstellungen!$N$7:$N$40))</f>
        <v/>
      </c>
      <c r="I312" s="12" t="str">
        <f aca="false">IF($A312="","",IF(OR($B312="",$C312=""),"Von und Bis eintragen",IF($C312&lt;$B312,"Bis liegt vor Von",IF(ISNA(MATCH($A312,Team!$A$5:$A$64,0)),"Name fehlt im Blatt Team",IF(COUNTIFS($A$6:$A$605,$A312,$B$6:$B$605,"&lt;="&amp;$C312,$C$6:$C$605,"&gt;="&amp;$B312)&gt;1,"Überschneidet sich mit eigenem Wunsch",IF(OR($B312&lt;Einstellungen!$B$3,$C312&gt;Einstellungen!$B$4),"Teils außerhalb des Planungsjahres","ok"))))))</f>
        <v/>
      </c>
      <c r="J312" s="14"/>
    </row>
    <row r="313" customFormat="false" ht="15" hidden="false" customHeight="false" outlineLevel="0" collapsed="false">
      <c r="A313" s="15"/>
      <c r="B313" s="14"/>
      <c r="C313" s="14"/>
      <c r="D313" s="15"/>
      <c r="E313" s="15"/>
      <c r="F313" s="12" t="str">
        <f aca="false">IF($A313="","",IFERROR(INDEX(Team!$B$5:$B$64,MATCH($A313,Team!$A$5:$A$64,0)),"?"))</f>
        <v/>
      </c>
      <c r="G313" s="13" t="str">
        <f aca="false">IF($A313="","",COUNTIF($A$6:$A313,$A313)&amp;". Wunsch")</f>
        <v/>
      </c>
      <c r="H313" s="13" t="str">
        <f aca="false">IF(OR($A313="",$B313="",$C313="",$C313&lt;$B313),"",NETWORKDAYS($B313,$C313,Einstellungen!$N$7:$N$40))</f>
        <v/>
      </c>
      <c r="I313" s="12" t="str">
        <f aca="false">IF($A313="","",IF(OR($B313="",$C313=""),"Von und Bis eintragen",IF($C313&lt;$B313,"Bis liegt vor Von",IF(ISNA(MATCH($A313,Team!$A$5:$A$64,0)),"Name fehlt im Blatt Team",IF(COUNTIFS($A$6:$A$605,$A313,$B$6:$B$605,"&lt;="&amp;$C313,$C$6:$C$605,"&gt;="&amp;$B313)&gt;1,"Überschneidet sich mit eigenem Wunsch",IF(OR($B313&lt;Einstellungen!$B$3,$C313&gt;Einstellungen!$B$4),"Teils außerhalb des Planungsjahres","ok"))))))</f>
        <v/>
      </c>
      <c r="J313" s="14"/>
    </row>
    <row r="314" customFormat="false" ht="15" hidden="false" customHeight="false" outlineLevel="0" collapsed="false">
      <c r="A314" s="15"/>
      <c r="B314" s="14"/>
      <c r="C314" s="14"/>
      <c r="D314" s="15"/>
      <c r="E314" s="15"/>
      <c r="F314" s="12" t="str">
        <f aca="false">IF($A314="","",IFERROR(INDEX(Team!$B$5:$B$64,MATCH($A314,Team!$A$5:$A$64,0)),"?"))</f>
        <v/>
      </c>
      <c r="G314" s="13" t="str">
        <f aca="false">IF($A314="","",COUNTIF($A$6:$A314,$A314)&amp;". Wunsch")</f>
        <v/>
      </c>
      <c r="H314" s="13" t="str">
        <f aca="false">IF(OR($A314="",$B314="",$C314="",$C314&lt;$B314),"",NETWORKDAYS($B314,$C314,Einstellungen!$N$7:$N$40))</f>
        <v/>
      </c>
      <c r="I314" s="12" t="str">
        <f aca="false">IF($A314="","",IF(OR($B314="",$C314=""),"Von und Bis eintragen",IF($C314&lt;$B314,"Bis liegt vor Von",IF(ISNA(MATCH($A314,Team!$A$5:$A$64,0)),"Name fehlt im Blatt Team",IF(COUNTIFS($A$6:$A$605,$A314,$B$6:$B$605,"&lt;="&amp;$C314,$C$6:$C$605,"&gt;="&amp;$B314)&gt;1,"Überschneidet sich mit eigenem Wunsch",IF(OR($B314&lt;Einstellungen!$B$3,$C314&gt;Einstellungen!$B$4),"Teils außerhalb des Planungsjahres","ok"))))))</f>
        <v/>
      </c>
      <c r="J314" s="14"/>
    </row>
    <row r="315" customFormat="false" ht="15" hidden="false" customHeight="false" outlineLevel="0" collapsed="false">
      <c r="A315" s="15"/>
      <c r="B315" s="14"/>
      <c r="C315" s="14"/>
      <c r="D315" s="15"/>
      <c r="E315" s="15"/>
      <c r="F315" s="12" t="str">
        <f aca="false">IF($A315="","",IFERROR(INDEX(Team!$B$5:$B$64,MATCH($A315,Team!$A$5:$A$64,0)),"?"))</f>
        <v/>
      </c>
      <c r="G315" s="13" t="str">
        <f aca="false">IF($A315="","",COUNTIF($A$6:$A315,$A315)&amp;". Wunsch")</f>
        <v/>
      </c>
      <c r="H315" s="13" t="str">
        <f aca="false">IF(OR($A315="",$B315="",$C315="",$C315&lt;$B315),"",NETWORKDAYS($B315,$C315,Einstellungen!$N$7:$N$40))</f>
        <v/>
      </c>
      <c r="I315" s="12" t="str">
        <f aca="false">IF($A315="","",IF(OR($B315="",$C315=""),"Von und Bis eintragen",IF($C315&lt;$B315,"Bis liegt vor Von",IF(ISNA(MATCH($A315,Team!$A$5:$A$64,0)),"Name fehlt im Blatt Team",IF(COUNTIFS($A$6:$A$605,$A315,$B$6:$B$605,"&lt;="&amp;$C315,$C$6:$C$605,"&gt;="&amp;$B315)&gt;1,"Überschneidet sich mit eigenem Wunsch",IF(OR($B315&lt;Einstellungen!$B$3,$C315&gt;Einstellungen!$B$4),"Teils außerhalb des Planungsjahres","ok"))))))</f>
        <v/>
      </c>
      <c r="J315" s="14"/>
    </row>
    <row r="316" customFormat="false" ht="15" hidden="false" customHeight="false" outlineLevel="0" collapsed="false">
      <c r="A316" s="15"/>
      <c r="B316" s="14"/>
      <c r="C316" s="14"/>
      <c r="D316" s="15"/>
      <c r="E316" s="15"/>
      <c r="F316" s="12" t="str">
        <f aca="false">IF($A316="","",IFERROR(INDEX(Team!$B$5:$B$64,MATCH($A316,Team!$A$5:$A$64,0)),"?"))</f>
        <v/>
      </c>
      <c r="G316" s="13" t="str">
        <f aca="false">IF($A316="","",COUNTIF($A$6:$A316,$A316)&amp;". Wunsch")</f>
        <v/>
      </c>
      <c r="H316" s="13" t="str">
        <f aca="false">IF(OR($A316="",$B316="",$C316="",$C316&lt;$B316),"",NETWORKDAYS($B316,$C316,Einstellungen!$N$7:$N$40))</f>
        <v/>
      </c>
      <c r="I316" s="12" t="str">
        <f aca="false">IF($A316="","",IF(OR($B316="",$C316=""),"Von und Bis eintragen",IF($C316&lt;$B316,"Bis liegt vor Von",IF(ISNA(MATCH($A316,Team!$A$5:$A$64,0)),"Name fehlt im Blatt Team",IF(COUNTIFS($A$6:$A$605,$A316,$B$6:$B$605,"&lt;="&amp;$C316,$C$6:$C$605,"&gt;="&amp;$B316)&gt;1,"Überschneidet sich mit eigenem Wunsch",IF(OR($B316&lt;Einstellungen!$B$3,$C316&gt;Einstellungen!$B$4),"Teils außerhalb des Planungsjahres","ok"))))))</f>
        <v/>
      </c>
      <c r="J316" s="14"/>
    </row>
    <row r="317" customFormat="false" ht="15" hidden="false" customHeight="false" outlineLevel="0" collapsed="false">
      <c r="A317" s="15"/>
      <c r="B317" s="14"/>
      <c r="C317" s="14"/>
      <c r="D317" s="15"/>
      <c r="E317" s="15"/>
      <c r="F317" s="12" t="str">
        <f aca="false">IF($A317="","",IFERROR(INDEX(Team!$B$5:$B$64,MATCH($A317,Team!$A$5:$A$64,0)),"?"))</f>
        <v/>
      </c>
      <c r="G317" s="13" t="str">
        <f aca="false">IF($A317="","",COUNTIF($A$6:$A317,$A317)&amp;". Wunsch")</f>
        <v/>
      </c>
      <c r="H317" s="13" t="str">
        <f aca="false">IF(OR($A317="",$B317="",$C317="",$C317&lt;$B317),"",NETWORKDAYS($B317,$C317,Einstellungen!$N$7:$N$40))</f>
        <v/>
      </c>
      <c r="I317" s="12" t="str">
        <f aca="false">IF($A317="","",IF(OR($B317="",$C317=""),"Von und Bis eintragen",IF($C317&lt;$B317,"Bis liegt vor Von",IF(ISNA(MATCH($A317,Team!$A$5:$A$64,0)),"Name fehlt im Blatt Team",IF(COUNTIFS($A$6:$A$605,$A317,$B$6:$B$605,"&lt;="&amp;$C317,$C$6:$C$605,"&gt;="&amp;$B317)&gt;1,"Überschneidet sich mit eigenem Wunsch",IF(OR($B317&lt;Einstellungen!$B$3,$C317&gt;Einstellungen!$B$4),"Teils außerhalb des Planungsjahres","ok"))))))</f>
        <v/>
      </c>
      <c r="J317" s="14"/>
    </row>
    <row r="318" customFormat="false" ht="15" hidden="false" customHeight="false" outlineLevel="0" collapsed="false">
      <c r="A318" s="15"/>
      <c r="B318" s="14"/>
      <c r="C318" s="14"/>
      <c r="D318" s="15"/>
      <c r="E318" s="15"/>
      <c r="F318" s="12" t="str">
        <f aca="false">IF($A318="","",IFERROR(INDEX(Team!$B$5:$B$64,MATCH($A318,Team!$A$5:$A$64,0)),"?"))</f>
        <v/>
      </c>
      <c r="G318" s="13" t="str">
        <f aca="false">IF($A318="","",COUNTIF($A$6:$A318,$A318)&amp;". Wunsch")</f>
        <v/>
      </c>
      <c r="H318" s="13" t="str">
        <f aca="false">IF(OR($A318="",$B318="",$C318="",$C318&lt;$B318),"",NETWORKDAYS($B318,$C318,Einstellungen!$N$7:$N$40))</f>
        <v/>
      </c>
      <c r="I318" s="12" t="str">
        <f aca="false">IF($A318="","",IF(OR($B318="",$C318=""),"Von und Bis eintragen",IF($C318&lt;$B318,"Bis liegt vor Von",IF(ISNA(MATCH($A318,Team!$A$5:$A$64,0)),"Name fehlt im Blatt Team",IF(COUNTIFS($A$6:$A$605,$A318,$B$6:$B$605,"&lt;="&amp;$C318,$C$6:$C$605,"&gt;="&amp;$B318)&gt;1,"Überschneidet sich mit eigenem Wunsch",IF(OR($B318&lt;Einstellungen!$B$3,$C318&gt;Einstellungen!$B$4),"Teils außerhalb des Planungsjahres","ok"))))))</f>
        <v/>
      </c>
      <c r="J318" s="14"/>
    </row>
    <row r="319" customFormat="false" ht="15" hidden="false" customHeight="false" outlineLevel="0" collapsed="false">
      <c r="A319" s="15"/>
      <c r="B319" s="14"/>
      <c r="C319" s="14"/>
      <c r="D319" s="15"/>
      <c r="E319" s="15"/>
      <c r="F319" s="12" t="str">
        <f aca="false">IF($A319="","",IFERROR(INDEX(Team!$B$5:$B$64,MATCH($A319,Team!$A$5:$A$64,0)),"?"))</f>
        <v/>
      </c>
      <c r="G319" s="13" t="str">
        <f aca="false">IF($A319="","",COUNTIF($A$6:$A319,$A319)&amp;". Wunsch")</f>
        <v/>
      </c>
      <c r="H319" s="13" t="str">
        <f aca="false">IF(OR($A319="",$B319="",$C319="",$C319&lt;$B319),"",NETWORKDAYS($B319,$C319,Einstellungen!$N$7:$N$40))</f>
        <v/>
      </c>
      <c r="I319" s="12" t="str">
        <f aca="false">IF($A319="","",IF(OR($B319="",$C319=""),"Von und Bis eintragen",IF($C319&lt;$B319,"Bis liegt vor Von",IF(ISNA(MATCH($A319,Team!$A$5:$A$64,0)),"Name fehlt im Blatt Team",IF(COUNTIFS($A$6:$A$605,$A319,$B$6:$B$605,"&lt;="&amp;$C319,$C$6:$C$605,"&gt;="&amp;$B319)&gt;1,"Überschneidet sich mit eigenem Wunsch",IF(OR($B319&lt;Einstellungen!$B$3,$C319&gt;Einstellungen!$B$4),"Teils außerhalb des Planungsjahres","ok"))))))</f>
        <v/>
      </c>
      <c r="J319" s="14"/>
    </row>
    <row r="320" customFormat="false" ht="15" hidden="false" customHeight="false" outlineLevel="0" collapsed="false">
      <c r="A320" s="15"/>
      <c r="B320" s="14"/>
      <c r="C320" s="14"/>
      <c r="D320" s="15"/>
      <c r="E320" s="15"/>
      <c r="F320" s="12" t="str">
        <f aca="false">IF($A320="","",IFERROR(INDEX(Team!$B$5:$B$64,MATCH($A320,Team!$A$5:$A$64,0)),"?"))</f>
        <v/>
      </c>
      <c r="G320" s="13" t="str">
        <f aca="false">IF($A320="","",COUNTIF($A$6:$A320,$A320)&amp;". Wunsch")</f>
        <v/>
      </c>
      <c r="H320" s="13" t="str">
        <f aca="false">IF(OR($A320="",$B320="",$C320="",$C320&lt;$B320),"",NETWORKDAYS($B320,$C320,Einstellungen!$N$7:$N$40))</f>
        <v/>
      </c>
      <c r="I320" s="12" t="str">
        <f aca="false">IF($A320="","",IF(OR($B320="",$C320=""),"Von und Bis eintragen",IF($C320&lt;$B320,"Bis liegt vor Von",IF(ISNA(MATCH($A320,Team!$A$5:$A$64,0)),"Name fehlt im Blatt Team",IF(COUNTIFS($A$6:$A$605,$A320,$B$6:$B$605,"&lt;="&amp;$C320,$C$6:$C$605,"&gt;="&amp;$B320)&gt;1,"Überschneidet sich mit eigenem Wunsch",IF(OR($B320&lt;Einstellungen!$B$3,$C320&gt;Einstellungen!$B$4),"Teils außerhalb des Planungsjahres","ok"))))))</f>
        <v/>
      </c>
      <c r="J320" s="14"/>
    </row>
    <row r="321" customFormat="false" ht="15" hidden="false" customHeight="false" outlineLevel="0" collapsed="false">
      <c r="A321" s="15"/>
      <c r="B321" s="14"/>
      <c r="C321" s="14"/>
      <c r="D321" s="15"/>
      <c r="E321" s="15"/>
      <c r="F321" s="12" t="str">
        <f aca="false">IF($A321="","",IFERROR(INDEX(Team!$B$5:$B$64,MATCH($A321,Team!$A$5:$A$64,0)),"?"))</f>
        <v/>
      </c>
      <c r="G321" s="13" t="str">
        <f aca="false">IF($A321="","",COUNTIF($A$6:$A321,$A321)&amp;". Wunsch")</f>
        <v/>
      </c>
      <c r="H321" s="13" t="str">
        <f aca="false">IF(OR($A321="",$B321="",$C321="",$C321&lt;$B321),"",NETWORKDAYS($B321,$C321,Einstellungen!$N$7:$N$40))</f>
        <v/>
      </c>
      <c r="I321" s="12" t="str">
        <f aca="false">IF($A321="","",IF(OR($B321="",$C321=""),"Von und Bis eintragen",IF($C321&lt;$B321,"Bis liegt vor Von",IF(ISNA(MATCH($A321,Team!$A$5:$A$64,0)),"Name fehlt im Blatt Team",IF(COUNTIFS($A$6:$A$605,$A321,$B$6:$B$605,"&lt;="&amp;$C321,$C$6:$C$605,"&gt;="&amp;$B321)&gt;1,"Überschneidet sich mit eigenem Wunsch",IF(OR($B321&lt;Einstellungen!$B$3,$C321&gt;Einstellungen!$B$4),"Teils außerhalb des Planungsjahres","ok"))))))</f>
        <v/>
      </c>
      <c r="J321" s="14"/>
    </row>
    <row r="322" customFormat="false" ht="15" hidden="false" customHeight="false" outlineLevel="0" collapsed="false">
      <c r="A322" s="15"/>
      <c r="B322" s="14"/>
      <c r="C322" s="14"/>
      <c r="D322" s="15"/>
      <c r="E322" s="15"/>
      <c r="F322" s="12" t="str">
        <f aca="false">IF($A322="","",IFERROR(INDEX(Team!$B$5:$B$64,MATCH($A322,Team!$A$5:$A$64,0)),"?"))</f>
        <v/>
      </c>
      <c r="G322" s="13" t="str">
        <f aca="false">IF($A322="","",COUNTIF($A$6:$A322,$A322)&amp;". Wunsch")</f>
        <v/>
      </c>
      <c r="H322" s="13" t="str">
        <f aca="false">IF(OR($A322="",$B322="",$C322="",$C322&lt;$B322),"",NETWORKDAYS($B322,$C322,Einstellungen!$N$7:$N$40))</f>
        <v/>
      </c>
      <c r="I322" s="12" t="str">
        <f aca="false">IF($A322="","",IF(OR($B322="",$C322=""),"Von und Bis eintragen",IF($C322&lt;$B322,"Bis liegt vor Von",IF(ISNA(MATCH($A322,Team!$A$5:$A$64,0)),"Name fehlt im Blatt Team",IF(COUNTIFS($A$6:$A$605,$A322,$B$6:$B$605,"&lt;="&amp;$C322,$C$6:$C$605,"&gt;="&amp;$B322)&gt;1,"Überschneidet sich mit eigenem Wunsch",IF(OR($B322&lt;Einstellungen!$B$3,$C322&gt;Einstellungen!$B$4),"Teils außerhalb des Planungsjahres","ok"))))))</f>
        <v/>
      </c>
      <c r="J322" s="14"/>
    </row>
    <row r="323" customFormat="false" ht="15" hidden="false" customHeight="false" outlineLevel="0" collapsed="false">
      <c r="A323" s="15"/>
      <c r="B323" s="14"/>
      <c r="C323" s="14"/>
      <c r="D323" s="15"/>
      <c r="E323" s="15"/>
      <c r="F323" s="12" t="str">
        <f aca="false">IF($A323="","",IFERROR(INDEX(Team!$B$5:$B$64,MATCH($A323,Team!$A$5:$A$64,0)),"?"))</f>
        <v/>
      </c>
      <c r="G323" s="13" t="str">
        <f aca="false">IF($A323="","",COUNTIF($A$6:$A323,$A323)&amp;". Wunsch")</f>
        <v/>
      </c>
      <c r="H323" s="13" t="str">
        <f aca="false">IF(OR($A323="",$B323="",$C323="",$C323&lt;$B323),"",NETWORKDAYS($B323,$C323,Einstellungen!$N$7:$N$40))</f>
        <v/>
      </c>
      <c r="I323" s="12" t="str">
        <f aca="false">IF($A323="","",IF(OR($B323="",$C323=""),"Von und Bis eintragen",IF($C323&lt;$B323,"Bis liegt vor Von",IF(ISNA(MATCH($A323,Team!$A$5:$A$64,0)),"Name fehlt im Blatt Team",IF(COUNTIFS($A$6:$A$605,$A323,$B$6:$B$605,"&lt;="&amp;$C323,$C$6:$C$605,"&gt;="&amp;$B323)&gt;1,"Überschneidet sich mit eigenem Wunsch",IF(OR($B323&lt;Einstellungen!$B$3,$C323&gt;Einstellungen!$B$4),"Teils außerhalb des Planungsjahres","ok"))))))</f>
        <v/>
      </c>
      <c r="J323" s="14"/>
    </row>
    <row r="324" customFormat="false" ht="15" hidden="false" customHeight="false" outlineLevel="0" collapsed="false">
      <c r="A324" s="15"/>
      <c r="B324" s="14"/>
      <c r="C324" s="14"/>
      <c r="D324" s="15"/>
      <c r="E324" s="15"/>
      <c r="F324" s="12" t="str">
        <f aca="false">IF($A324="","",IFERROR(INDEX(Team!$B$5:$B$64,MATCH($A324,Team!$A$5:$A$64,0)),"?"))</f>
        <v/>
      </c>
      <c r="G324" s="13" t="str">
        <f aca="false">IF($A324="","",COUNTIF($A$6:$A324,$A324)&amp;". Wunsch")</f>
        <v/>
      </c>
      <c r="H324" s="13" t="str">
        <f aca="false">IF(OR($A324="",$B324="",$C324="",$C324&lt;$B324),"",NETWORKDAYS($B324,$C324,Einstellungen!$N$7:$N$40))</f>
        <v/>
      </c>
      <c r="I324" s="12" t="str">
        <f aca="false">IF($A324="","",IF(OR($B324="",$C324=""),"Von und Bis eintragen",IF($C324&lt;$B324,"Bis liegt vor Von",IF(ISNA(MATCH($A324,Team!$A$5:$A$64,0)),"Name fehlt im Blatt Team",IF(COUNTIFS($A$6:$A$605,$A324,$B$6:$B$605,"&lt;="&amp;$C324,$C$6:$C$605,"&gt;="&amp;$B324)&gt;1,"Überschneidet sich mit eigenem Wunsch",IF(OR($B324&lt;Einstellungen!$B$3,$C324&gt;Einstellungen!$B$4),"Teils außerhalb des Planungsjahres","ok"))))))</f>
        <v/>
      </c>
      <c r="J324" s="14"/>
    </row>
    <row r="325" customFormat="false" ht="15" hidden="false" customHeight="false" outlineLevel="0" collapsed="false">
      <c r="A325" s="15"/>
      <c r="B325" s="14"/>
      <c r="C325" s="14"/>
      <c r="D325" s="15"/>
      <c r="E325" s="15"/>
      <c r="F325" s="12" t="str">
        <f aca="false">IF($A325="","",IFERROR(INDEX(Team!$B$5:$B$64,MATCH($A325,Team!$A$5:$A$64,0)),"?"))</f>
        <v/>
      </c>
      <c r="G325" s="13" t="str">
        <f aca="false">IF($A325="","",COUNTIF($A$6:$A325,$A325)&amp;". Wunsch")</f>
        <v/>
      </c>
      <c r="H325" s="13" t="str">
        <f aca="false">IF(OR($A325="",$B325="",$C325="",$C325&lt;$B325),"",NETWORKDAYS($B325,$C325,Einstellungen!$N$7:$N$40))</f>
        <v/>
      </c>
      <c r="I325" s="12" t="str">
        <f aca="false">IF($A325="","",IF(OR($B325="",$C325=""),"Von und Bis eintragen",IF($C325&lt;$B325,"Bis liegt vor Von",IF(ISNA(MATCH($A325,Team!$A$5:$A$64,0)),"Name fehlt im Blatt Team",IF(COUNTIFS($A$6:$A$605,$A325,$B$6:$B$605,"&lt;="&amp;$C325,$C$6:$C$605,"&gt;="&amp;$B325)&gt;1,"Überschneidet sich mit eigenem Wunsch",IF(OR($B325&lt;Einstellungen!$B$3,$C325&gt;Einstellungen!$B$4),"Teils außerhalb des Planungsjahres","ok"))))))</f>
        <v/>
      </c>
      <c r="J325" s="14"/>
    </row>
    <row r="326" customFormat="false" ht="15" hidden="false" customHeight="false" outlineLevel="0" collapsed="false">
      <c r="A326" s="15"/>
      <c r="B326" s="14"/>
      <c r="C326" s="14"/>
      <c r="D326" s="15"/>
      <c r="E326" s="15"/>
      <c r="F326" s="12" t="str">
        <f aca="false">IF($A326="","",IFERROR(INDEX(Team!$B$5:$B$64,MATCH($A326,Team!$A$5:$A$64,0)),"?"))</f>
        <v/>
      </c>
      <c r="G326" s="13" t="str">
        <f aca="false">IF($A326="","",COUNTIF($A$6:$A326,$A326)&amp;". Wunsch")</f>
        <v/>
      </c>
      <c r="H326" s="13" t="str">
        <f aca="false">IF(OR($A326="",$B326="",$C326="",$C326&lt;$B326),"",NETWORKDAYS($B326,$C326,Einstellungen!$N$7:$N$40))</f>
        <v/>
      </c>
      <c r="I326" s="12" t="str">
        <f aca="false">IF($A326="","",IF(OR($B326="",$C326=""),"Von und Bis eintragen",IF($C326&lt;$B326,"Bis liegt vor Von",IF(ISNA(MATCH($A326,Team!$A$5:$A$64,0)),"Name fehlt im Blatt Team",IF(COUNTIFS($A$6:$A$605,$A326,$B$6:$B$605,"&lt;="&amp;$C326,$C$6:$C$605,"&gt;="&amp;$B326)&gt;1,"Überschneidet sich mit eigenem Wunsch",IF(OR($B326&lt;Einstellungen!$B$3,$C326&gt;Einstellungen!$B$4),"Teils außerhalb des Planungsjahres","ok"))))))</f>
        <v/>
      </c>
      <c r="J326" s="14"/>
    </row>
    <row r="327" customFormat="false" ht="15" hidden="false" customHeight="false" outlineLevel="0" collapsed="false">
      <c r="A327" s="15"/>
      <c r="B327" s="14"/>
      <c r="C327" s="14"/>
      <c r="D327" s="15"/>
      <c r="E327" s="15"/>
      <c r="F327" s="12" t="str">
        <f aca="false">IF($A327="","",IFERROR(INDEX(Team!$B$5:$B$64,MATCH($A327,Team!$A$5:$A$64,0)),"?"))</f>
        <v/>
      </c>
      <c r="G327" s="13" t="str">
        <f aca="false">IF($A327="","",COUNTIF($A$6:$A327,$A327)&amp;". Wunsch")</f>
        <v/>
      </c>
      <c r="H327" s="13" t="str">
        <f aca="false">IF(OR($A327="",$B327="",$C327="",$C327&lt;$B327),"",NETWORKDAYS($B327,$C327,Einstellungen!$N$7:$N$40))</f>
        <v/>
      </c>
      <c r="I327" s="12" t="str">
        <f aca="false">IF($A327="","",IF(OR($B327="",$C327=""),"Von und Bis eintragen",IF($C327&lt;$B327,"Bis liegt vor Von",IF(ISNA(MATCH($A327,Team!$A$5:$A$64,0)),"Name fehlt im Blatt Team",IF(COUNTIFS($A$6:$A$605,$A327,$B$6:$B$605,"&lt;="&amp;$C327,$C$6:$C$605,"&gt;="&amp;$B327)&gt;1,"Überschneidet sich mit eigenem Wunsch",IF(OR($B327&lt;Einstellungen!$B$3,$C327&gt;Einstellungen!$B$4),"Teils außerhalb des Planungsjahres","ok"))))))</f>
        <v/>
      </c>
      <c r="J327" s="14"/>
    </row>
    <row r="328" customFormat="false" ht="15" hidden="false" customHeight="false" outlineLevel="0" collapsed="false">
      <c r="A328" s="15"/>
      <c r="B328" s="14"/>
      <c r="C328" s="14"/>
      <c r="D328" s="15"/>
      <c r="E328" s="15"/>
      <c r="F328" s="12" t="str">
        <f aca="false">IF($A328="","",IFERROR(INDEX(Team!$B$5:$B$64,MATCH($A328,Team!$A$5:$A$64,0)),"?"))</f>
        <v/>
      </c>
      <c r="G328" s="13" t="str">
        <f aca="false">IF($A328="","",COUNTIF($A$6:$A328,$A328)&amp;". Wunsch")</f>
        <v/>
      </c>
      <c r="H328" s="13" t="str">
        <f aca="false">IF(OR($A328="",$B328="",$C328="",$C328&lt;$B328),"",NETWORKDAYS($B328,$C328,Einstellungen!$N$7:$N$40))</f>
        <v/>
      </c>
      <c r="I328" s="12" t="str">
        <f aca="false">IF($A328="","",IF(OR($B328="",$C328=""),"Von und Bis eintragen",IF($C328&lt;$B328,"Bis liegt vor Von",IF(ISNA(MATCH($A328,Team!$A$5:$A$64,0)),"Name fehlt im Blatt Team",IF(COUNTIFS($A$6:$A$605,$A328,$B$6:$B$605,"&lt;="&amp;$C328,$C$6:$C$605,"&gt;="&amp;$B328)&gt;1,"Überschneidet sich mit eigenem Wunsch",IF(OR($B328&lt;Einstellungen!$B$3,$C328&gt;Einstellungen!$B$4),"Teils außerhalb des Planungsjahres","ok"))))))</f>
        <v/>
      </c>
      <c r="J328" s="14"/>
    </row>
    <row r="329" customFormat="false" ht="15" hidden="false" customHeight="false" outlineLevel="0" collapsed="false">
      <c r="A329" s="15"/>
      <c r="B329" s="14"/>
      <c r="C329" s="14"/>
      <c r="D329" s="15"/>
      <c r="E329" s="15"/>
      <c r="F329" s="12" t="str">
        <f aca="false">IF($A329="","",IFERROR(INDEX(Team!$B$5:$B$64,MATCH($A329,Team!$A$5:$A$64,0)),"?"))</f>
        <v/>
      </c>
      <c r="G329" s="13" t="str">
        <f aca="false">IF($A329="","",COUNTIF($A$6:$A329,$A329)&amp;". Wunsch")</f>
        <v/>
      </c>
      <c r="H329" s="13" t="str">
        <f aca="false">IF(OR($A329="",$B329="",$C329="",$C329&lt;$B329),"",NETWORKDAYS($B329,$C329,Einstellungen!$N$7:$N$40))</f>
        <v/>
      </c>
      <c r="I329" s="12" t="str">
        <f aca="false">IF($A329="","",IF(OR($B329="",$C329=""),"Von und Bis eintragen",IF($C329&lt;$B329,"Bis liegt vor Von",IF(ISNA(MATCH($A329,Team!$A$5:$A$64,0)),"Name fehlt im Blatt Team",IF(COUNTIFS($A$6:$A$605,$A329,$B$6:$B$605,"&lt;="&amp;$C329,$C$6:$C$605,"&gt;="&amp;$B329)&gt;1,"Überschneidet sich mit eigenem Wunsch",IF(OR($B329&lt;Einstellungen!$B$3,$C329&gt;Einstellungen!$B$4),"Teils außerhalb des Planungsjahres","ok"))))))</f>
        <v/>
      </c>
      <c r="J329" s="14"/>
    </row>
    <row r="330" customFormat="false" ht="15" hidden="false" customHeight="false" outlineLevel="0" collapsed="false">
      <c r="A330" s="15"/>
      <c r="B330" s="14"/>
      <c r="C330" s="14"/>
      <c r="D330" s="15"/>
      <c r="E330" s="15"/>
      <c r="F330" s="12" t="str">
        <f aca="false">IF($A330="","",IFERROR(INDEX(Team!$B$5:$B$64,MATCH($A330,Team!$A$5:$A$64,0)),"?"))</f>
        <v/>
      </c>
      <c r="G330" s="13" t="str">
        <f aca="false">IF($A330="","",COUNTIF($A$6:$A330,$A330)&amp;". Wunsch")</f>
        <v/>
      </c>
      <c r="H330" s="13" t="str">
        <f aca="false">IF(OR($A330="",$B330="",$C330="",$C330&lt;$B330),"",NETWORKDAYS($B330,$C330,Einstellungen!$N$7:$N$40))</f>
        <v/>
      </c>
      <c r="I330" s="12" t="str">
        <f aca="false">IF($A330="","",IF(OR($B330="",$C330=""),"Von und Bis eintragen",IF($C330&lt;$B330,"Bis liegt vor Von",IF(ISNA(MATCH($A330,Team!$A$5:$A$64,0)),"Name fehlt im Blatt Team",IF(COUNTIFS($A$6:$A$605,$A330,$B$6:$B$605,"&lt;="&amp;$C330,$C$6:$C$605,"&gt;="&amp;$B330)&gt;1,"Überschneidet sich mit eigenem Wunsch",IF(OR($B330&lt;Einstellungen!$B$3,$C330&gt;Einstellungen!$B$4),"Teils außerhalb des Planungsjahres","ok"))))))</f>
        <v/>
      </c>
      <c r="J330" s="14"/>
    </row>
    <row r="331" customFormat="false" ht="15" hidden="false" customHeight="false" outlineLevel="0" collapsed="false">
      <c r="A331" s="15"/>
      <c r="B331" s="14"/>
      <c r="C331" s="14"/>
      <c r="D331" s="15"/>
      <c r="E331" s="15"/>
      <c r="F331" s="12" t="str">
        <f aca="false">IF($A331="","",IFERROR(INDEX(Team!$B$5:$B$64,MATCH($A331,Team!$A$5:$A$64,0)),"?"))</f>
        <v/>
      </c>
      <c r="G331" s="13" t="str">
        <f aca="false">IF($A331="","",COUNTIF($A$6:$A331,$A331)&amp;". Wunsch")</f>
        <v/>
      </c>
      <c r="H331" s="13" t="str">
        <f aca="false">IF(OR($A331="",$B331="",$C331="",$C331&lt;$B331),"",NETWORKDAYS($B331,$C331,Einstellungen!$N$7:$N$40))</f>
        <v/>
      </c>
      <c r="I331" s="12" t="str">
        <f aca="false">IF($A331="","",IF(OR($B331="",$C331=""),"Von und Bis eintragen",IF($C331&lt;$B331,"Bis liegt vor Von",IF(ISNA(MATCH($A331,Team!$A$5:$A$64,0)),"Name fehlt im Blatt Team",IF(COUNTIFS($A$6:$A$605,$A331,$B$6:$B$605,"&lt;="&amp;$C331,$C$6:$C$605,"&gt;="&amp;$B331)&gt;1,"Überschneidet sich mit eigenem Wunsch",IF(OR($B331&lt;Einstellungen!$B$3,$C331&gt;Einstellungen!$B$4),"Teils außerhalb des Planungsjahres","ok"))))))</f>
        <v/>
      </c>
      <c r="J331" s="14"/>
    </row>
    <row r="332" customFormat="false" ht="15" hidden="false" customHeight="false" outlineLevel="0" collapsed="false">
      <c r="A332" s="15"/>
      <c r="B332" s="14"/>
      <c r="C332" s="14"/>
      <c r="D332" s="15"/>
      <c r="E332" s="15"/>
      <c r="F332" s="12" t="str">
        <f aca="false">IF($A332="","",IFERROR(INDEX(Team!$B$5:$B$64,MATCH($A332,Team!$A$5:$A$64,0)),"?"))</f>
        <v/>
      </c>
      <c r="G332" s="13" t="str">
        <f aca="false">IF($A332="","",COUNTIF($A$6:$A332,$A332)&amp;". Wunsch")</f>
        <v/>
      </c>
      <c r="H332" s="13" t="str">
        <f aca="false">IF(OR($A332="",$B332="",$C332="",$C332&lt;$B332),"",NETWORKDAYS($B332,$C332,Einstellungen!$N$7:$N$40))</f>
        <v/>
      </c>
      <c r="I332" s="12" t="str">
        <f aca="false">IF($A332="","",IF(OR($B332="",$C332=""),"Von und Bis eintragen",IF($C332&lt;$B332,"Bis liegt vor Von",IF(ISNA(MATCH($A332,Team!$A$5:$A$64,0)),"Name fehlt im Blatt Team",IF(COUNTIFS($A$6:$A$605,$A332,$B$6:$B$605,"&lt;="&amp;$C332,$C$6:$C$605,"&gt;="&amp;$B332)&gt;1,"Überschneidet sich mit eigenem Wunsch",IF(OR($B332&lt;Einstellungen!$B$3,$C332&gt;Einstellungen!$B$4),"Teils außerhalb des Planungsjahres","ok"))))))</f>
        <v/>
      </c>
      <c r="J332" s="14"/>
    </row>
    <row r="333" customFormat="false" ht="15" hidden="false" customHeight="false" outlineLevel="0" collapsed="false">
      <c r="A333" s="15"/>
      <c r="B333" s="14"/>
      <c r="C333" s="14"/>
      <c r="D333" s="15"/>
      <c r="E333" s="15"/>
      <c r="F333" s="12" t="str">
        <f aca="false">IF($A333="","",IFERROR(INDEX(Team!$B$5:$B$64,MATCH($A333,Team!$A$5:$A$64,0)),"?"))</f>
        <v/>
      </c>
      <c r="G333" s="13" t="str">
        <f aca="false">IF($A333="","",COUNTIF($A$6:$A333,$A333)&amp;". Wunsch")</f>
        <v/>
      </c>
      <c r="H333" s="13" t="str">
        <f aca="false">IF(OR($A333="",$B333="",$C333="",$C333&lt;$B333),"",NETWORKDAYS($B333,$C333,Einstellungen!$N$7:$N$40))</f>
        <v/>
      </c>
      <c r="I333" s="12" t="str">
        <f aca="false">IF($A333="","",IF(OR($B333="",$C333=""),"Von und Bis eintragen",IF($C333&lt;$B333,"Bis liegt vor Von",IF(ISNA(MATCH($A333,Team!$A$5:$A$64,0)),"Name fehlt im Blatt Team",IF(COUNTIFS($A$6:$A$605,$A333,$B$6:$B$605,"&lt;="&amp;$C333,$C$6:$C$605,"&gt;="&amp;$B333)&gt;1,"Überschneidet sich mit eigenem Wunsch",IF(OR($B333&lt;Einstellungen!$B$3,$C333&gt;Einstellungen!$B$4),"Teils außerhalb des Planungsjahres","ok"))))))</f>
        <v/>
      </c>
      <c r="J333" s="14"/>
    </row>
    <row r="334" customFormat="false" ht="15" hidden="false" customHeight="false" outlineLevel="0" collapsed="false">
      <c r="A334" s="15"/>
      <c r="B334" s="14"/>
      <c r="C334" s="14"/>
      <c r="D334" s="15"/>
      <c r="E334" s="15"/>
      <c r="F334" s="12" t="str">
        <f aca="false">IF($A334="","",IFERROR(INDEX(Team!$B$5:$B$64,MATCH($A334,Team!$A$5:$A$64,0)),"?"))</f>
        <v/>
      </c>
      <c r="G334" s="13" t="str">
        <f aca="false">IF($A334="","",COUNTIF($A$6:$A334,$A334)&amp;". Wunsch")</f>
        <v/>
      </c>
      <c r="H334" s="13" t="str">
        <f aca="false">IF(OR($A334="",$B334="",$C334="",$C334&lt;$B334),"",NETWORKDAYS($B334,$C334,Einstellungen!$N$7:$N$40))</f>
        <v/>
      </c>
      <c r="I334" s="12" t="str">
        <f aca="false">IF($A334="","",IF(OR($B334="",$C334=""),"Von und Bis eintragen",IF($C334&lt;$B334,"Bis liegt vor Von",IF(ISNA(MATCH($A334,Team!$A$5:$A$64,0)),"Name fehlt im Blatt Team",IF(COUNTIFS($A$6:$A$605,$A334,$B$6:$B$605,"&lt;="&amp;$C334,$C$6:$C$605,"&gt;="&amp;$B334)&gt;1,"Überschneidet sich mit eigenem Wunsch",IF(OR($B334&lt;Einstellungen!$B$3,$C334&gt;Einstellungen!$B$4),"Teils außerhalb des Planungsjahres","ok"))))))</f>
        <v/>
      </c>
      <c r="J334" s="14"/>
    </row>
    <row r="335" customFormat="false" ht="15" hidden="false" customHeight="false" outlineLevel="0" collapsed="false">
      <c r="A335" s="15"/>
      <c r="B335" s="14"/>
      <c r="C335" s="14"/>
      <c r="D335" s="15"/>
      <c r="E335" s="15"/>
      <c r="F335" s="12" t="str">
        <f aca="false">IF($A335="","",IFERROR(INDEX(Team!$B$5:$B$64,MATCH($A335,Team!$A$5:$A$64,0)),"?"))</f>
        <v/>
      </c>
      <c r="G335" s="13" t="str">
        <f aca="false">IF($A335="","",COUNTIF($A$6:$A335,$A335)&amp;". Wunsch")</f>
        <v/>
      </c>
      <c r="H335" s="13" t="str">
        <f aca="false">IF(OR($A335="",$B335="",$C335="",$C335&lt;$B335),"",NETWORKDAYS($B335,$C335,Einstellungen!$N$7:$N$40))</f>
        <v/>
      </c>
      <c r="I335" s="12" t="str">
        <f aca="false">IF($A335="","",IF(OR($B335="",$C335=""),"Von und Bis eintragen",IF($C335&lt;$B335,"Bis liegt vor Von",IF(ISNA(MATCH($A335,Team!$A$5:$A$64,0)),"Name fehlt im Blatt Team",IF(COUNTIFS($A$6:$A$605,$A335,$B$6:$B$605,"&lt;="&amp;$C335,$C$6:$C$605,"&gt;="&amp;$B335)&gt;1,"Überschneidet sich mit eigenem Wunsch",IF(OR($B335&lt;Einstellungen!$B$3,$C335&gt;Einstellungen!$B$4),"Teils außerhalb des Planungsjahres","ok"))))))</f>
        <v/>
      </c>
      <c r="J335" s="14"/>
    </row>
    <row r="336" customFormat="false" ht="15" hidden="false" customHeight="false" outlineLevel="0" collapsed="false">
      <c r="A336" s="15"/>
      <c r="B336" s="14"/>
      <c r="C336" s="14"/>
      <c r="D336" s="15"/>
      <c r="E336" s="15"/>
      <c r="F336" s="12" t="str">
        <f aca="false">IF($A336="","",IFERROR(INDEX(Team!$B$5:$B$64,MATCH($A336,Team!$A$5:$A$64,0)),"?"))</f>
        <v/>
      </c>
      <c r="G336" s="13" t="str">
        <f aca="false">IF($A336="","",COUNTIF($A$6:$A336,$A336)&amp;". Wunsch")</f>
        <v/>
      </c>
      <c r="H336" s="13" t="str">
        <f aca="false">IF(OR($A336="",$B336="",$C336="",$C336&lt;$B336),"",NETWORKDAYS($B336,$C336,Einstellungen!$N$7:$N$40))</f>
        <v/>
      </c>
      <c r="I336" s="12" t="str">
        <f aca="false">IF($A336="","",IF(OR($B336="",$C336=""),"Von und Bis eintragen",IF($C336&lt;$B336,"Bis liegt vor Von",IF(ISNA(MATCH($A336,Team!$A$5:$A$64,0)),"Name fehlt im Blatt Team",IF(COUNTIFS($A$6:$A$605,$A336,$B$6:$B$605,"&lt;="&amp;$C336,$C$6:$C$605,"&gt;="&amp;$B336)&gt;1,"Überschneidet sich mit eigenem Wunsch",IF(OR($B336&lt;Einstellungen!$B$3,$C336&gt;Einstellungen!$B$4),"Teils außerhalb des Planungsjahres","ok"))))))</f>
        <v/>
      </c>
      <c r="J336" s="14"/>
    </row>
    <row r="337" customFormat="false" ht="15" hidden="false" customHeight="false" outlineLevel="0" collapsed="false">
      <c r="A337" s="15"/>
      <c r="B337" s="14"/>
      <c r="C337" s="14"/>
      <c r="D337" s="15"/>
      <c r="E337" s="15"/>
      <c r="F337" s="12" t="str">
        <f aca="false">IF($A337="","",IFERROR(INDEX(Team!$B$5:$B$64,MATCH($A337,Team!$A$5:$A$64,0)),"?"))</f>
        <v/>
      </c>
      <c r="G337" s="13" t="str">
        <f aca="false">IF($A337="","",COUNTIF($A$6:$A337,$A337)&amp;". Wunsch")</f>
        <v/>
      </c>
      <c r="H337" s="13" t="str">
        <f aca="false">IF(OR($A337="",$B337="",$C337="",$C337&lt;$B337),"",NETWORKDAYS($B337,$C337,Einstellungen!$N$7:$N$40))</f>
        <v/>
      </c>
      <c r="I337" s="12" t="str">
        <f aca="false">IF($A337="","",IF(OR($B337="",$C337=""),"Von und Bis eintragen",IF($C337&lt;$B337,"Bis liegt vor Von",IF(ISNA(MATCH($A337,Team!$A$5:$A$64,0)),"Name fehlt im Blatt Team",IF(COUNTIFS($A$6:$A$605,$A337,$B$6:$B$605,"&lt;="&amp;$C337,$C$6:$C$605,"&gt;="&amp;$B337)&gt;1,"Überschneidet sich mit eigenem Wunsch",IF(OR($B337&lt;Einstellungen!$B$3,$C337&gt;Einstellungen!$B$4),"Teils außerhalb des Planungsjahres","ok"))))))</f>
        <v/>
      </c>
      <c r="J337" s="14"/>
    </row>
    <row r="338" customFormat="false" ht="15" hidden="false" customHeight="false" outlineLevel="0" collapsed="false">
      <c r="A338" s="15"/>
      <c r="B338" s="14"/>
      <c r="C338" s="14"/>
      <c r="D338" s="15"/>
      <c r="E338" s="15"/>
      <c r="F338" s="12" t="str">
        <f aca="false">IF($A338="","",IFERROR(INDEX(Team!$B$5:$B$64,MATCH($A338,Team!$A$5:$A$64,0)),"?"))</f>
        <v/>
      </c>
      <c r="G338" s="13" t="str">
        <f aca="false">IF($A338="","",COUNTIF($A$6:$A338,$A338)&amp;". Wunsch")</f>
        <v/>
      </c>
      <c r="H338" s="13" t="str">
        <f aca="false">IF(OR($A338="",$B338="",$C338="",$C338&lt;$B338),"",NETWORKDAYS($B338,$C338,Einstellungen!$N$7:$N$40))</f>
        <v/>
      </c>
      <c r="I338" s="12" t="str">
        <f aca="false">IF($A338="","",IF(OR($B338="",$C338=""),"Von und Bis eintragen",IF($C338&lt;$B338,"Bis liegt vor Von",IF(ISNA(MATCH($A338,Team!$A$5:$A$64,0)),"Name fehlt im Blatt Team",IF(COUNTIFS($A$6:$A$605,$A338,$B$6:$B$605,"&lt;="&amp;$C338,$C$6:$C$605,"&gt;="&amp;$B338)&gt;1,"Überschneidet sich mit eigenem Wunsch",IF(OR($B338&lt;Einstellungen!$B$3,$C338&gt;Einstellungen!$B$4),"Teils außerhalb des Planungsjahres","ok"))))))</f>
        <v/>
      </c>
      <c r="J338" s="14"/>
    </row>
    <row r="339" customFormat="false" ht="15" hidden="false" customHeight="false" outlineLevel="0" collapsed="false">
      <c r="A339" s="15"/>
      <c r="B339" s="14"/>
      <c r="C339" s="14"/>
      <c r="D339" s="15"/>
      <c r="E339" s="15"/>
      <c r="F339" s="12" t="str">
        <f aca="false">IF($A339="","",IFERROR(INDEX(Team!$B$5:$B$64,MATCH($A339,Team!$A$5:$A$64,0)),"?"))</f>
        <v/>
      </c>
      <c r="G339" s="13" t="str">
        <f aca="false">IF($A339="","",COUNTIF($A$6:$A339,$A339)&amp;". Wunsch")</f>
        <v/>
      </c>
      <c r="H339" s="13" t="str">
        <f aca="false">IF(OR($A339="",$B339="",$C339="",$C339&lt;$B339),"",NETWORKDAYS($B339,$C339,Einstellungen!$N$7:$N$40))</f>
        <v/>
      </c>
      <c r="I339" s="12" t="str">
        <f aca="false">IF($A339="","",IF(OR($B339="",$C339=""),"Von und Bis eintragen",IF($C339&lt;$B339,"Bis liegt vor Von",IF(ISNA(MATCH($A339,Team!$A$5:$A$64,0)),"Name fehlt im Blatt Team",IF(COUNTIFS($A$6:$A$605,$A339,$B$6:$B$605,"&lt;="&amp;$C339,$C$6:$C$605,"&gt;="&amp;$B339)&gt;1,"Überschneidet sich mit eigenem Wunsch",IF(OR($B339&lt;Einstellungen!$B$3,$C339&gt;Einstellungen!$B$4),"Teils außerhalb des Planungsjahres","ok"))))))</f>
        <v/>
      </c>
      <c r="J339" s="14"/>
    </row>
    <row r="340" customFormat="false" ht="15" hidden="false" customHeight="false" outlineLevel="0" collapsed="false">
      <c r="A340" s="15"/>
      <c r="B340" s="14"/>
      <c r="C340" s="14"/>
      <c r="D340" s="15"/>
      <c r="E340" s="15"/>
      <c r="F340" s="12" t="str">
        <f aca="false">IF($A340="","",IFERROR(INDEX(Team!$B$5:$B$64,MATCH($A340,Team!$A$5:$A$64,0)),"?"))</f>
        <v/>
      </c>
      <c r="G340" s="13" t="str">
        <f aca="false">IF($A340="","",COUNTIF($A$6:$A340,$A340)&amp;". Wunsch")</f>
        <v/>
      </c>
      <c r="H340" s="13" t="str">
        <f aca="false">IF(OR($A340="",$B340="",$C340="",$C340&lt;$B340),"",NETWORKDAYS($B340,$C340,Einstellungen!$N$7:$N$40))</f>
        <v/>
      </c>
      <c r="I340" s="12" t="str">
        <f aca="false">IF($A340="","",IF(OR($B340="",$C340=""),"Von und Bis eintragen",IF($C340&lt;$B340,"Bis liegt vor Von",IF(ISNA(MATCH($A340,Team!$A$5:$A$64,0)),"Name fehlt im Blatt Team",IF(COUNTIFS($A$6:$A$605,$A340,$B$6:$B$605,"&lt;="&amp;$C340,$C$6:$C$605,"&gt;="&amp;$B340)&gt;1,"Überschneidet sich mit eigenem Wunsch",IF(OR($B340&lt;Einstellungen!$B$3,$C340&gt;Einstellungen!$B$4),"Teils außerhalb des Planungsjahres","ok"))))))</f>
        <v/>
      </c>
      <c r="J340" s="14"/>
    </row>
    <row r="341" customFormat="false" ht="15" hidden="false" customHeight="false" outlineLevel="0" collapsed="false">
      <c r="A341" s="15"/>
      <c r="B341" s="14"/>
      <c r="C341" s="14"/>
      <c r="D341" s="15"/>
      <c r="E341" s="15"/>
      <c r="F341" s="12" t="str">
        <f aca="false">IF($A341="","",IFERROR(INDEX(Team!$B$5:$B$64,MATCH($A341,Team!$A$5:$A$64,0)),"?"))</f>
        <v/>
      </c>
      <c r="G341" s="13" t="str">
        <f aca="false">IF($A341="","",COUNTIF($A$6:$A341,$A341)&amp;". Wunsch")</f>
        <v/>
      </c>
      <c r="H341" s="13" t="str">
        <f aca="false">IF(OR($A341="",$B341="",$C341="",$C341&lt;$B341),"",NETWORKDAYS($B341,$C341,Einstellungen!$N$7:$N$40))</f>
        <v/>
      </c>
      <c r="I341" s="12" t="str">
        <f aca="false">IF($A341="","",IF(OR($B341="",$C341=""),"Von und Bis eintragen",IF($C341&lt;$B341,"Bis liegt vor Von",IF(ISNA(MATCH($A341,Team!$A$5:$A$64,0)),"Name fehlt im Blatt Team",IF(COUNTIFS($A$6:$A$605,$A341,$B$6:$B$605,"&lt;="&amp;$C341,$C$6:$C$605,"&gt;="&amp;$B341)&gt;1,"Überschneidet sich mit eigenem Wunsch",IF(OR($B341&lt;Einstellungen!$B$3,$C341&gt;Einstellungen!$B$4),"Teils außerhalb des Planungsjahres","ok"))))))</f>
        <v/>
      </c>
      <c r="J341" s="14"/>
    </row>
    <row r="342" customFormat="false" ht="15" hidden="false" customHeight="false" outlineLevel="0" collapsed="false">
      <c r="A342" s="15"/>
      <c r="B342" s="14"/>
      <c r="C342" s="14"/>
      <c r="D342" s="15"/>
      <c r="E342" s="15"/>
      <c r="F342" s="12" t="str">
        <f aca="false">IF($A342="","",IFERROR(INDEX(Team!$B$5:$B$64,MATCH($A342,Team!$A$5:$A$64,0)),"?"))</f>
        <v/>
      </c>
      <c r="G342" s="13" t="str">
        <f aca="false">IF($A342="","",COUNTIF($A$6:$A342,$A342)&amp;". Wunsch")</f>
        <v/>
      </c>
      <c r="H342" s="13" t="str">
        <f aca="false">IF(OR($A342="",$B342="",$C342="",$C342&lt;$B342),"",NETWORKDAYS($B342,$C342,Einstellungen!$N$7:$N$40))</f>
        <v/>
      </c>
      <c r="I342" s="12" t="str">
        <f aca="false">IF($A342="","",IF(OR($B342="",$C342=""),"Von und Bis eintragen",IF($C342&lt;$B342,"Bis liegt vor Von",IF(ISNA(MATCH($A342,Team!$A$5:$A$64,0)),"Name fehlt im Blatt Team",IF(COUNTIFS($A$6:$A$605,$A342,$B$6:$B$605,"&lt;="&amp;$C342,$C$6:$C$605,"&gt;="&amp;$B342)&gt;1,"Überschneidet sich mit eigenem Wunsch",IF(OR($B342&lt;Einstellungen!$B$3,$C342&gt;Einstellungen!$B$4),"Teils außerhalb des Planungsjahres","ok"))))))</f>
        <v/>
      </c>
      <c r="J342" s="14"/>
    </row>
    <row r="343" customFormat="false" ht="15" hidden="false" customHeight="false" outlineLevel="0" collapsed="false">
      <c r="A343" s="15"/>
      <c r="B343" s="14"/>
      <c r="C343" s="14"/>
      <c r="D343" s="15"/>
      <c r="E343" s="15"/>
      <c r="F343" s="12" t="str">
        <f aca="false">IF($A343="","",IFERROR(INDEX(Team!$B$5:$B$64,MATCH($A343,Team!$A$5:$A$64,0)),"?"))</f>
        <v/>
      </c>
      <c r="G343" s="13" t="str">
        <f aca="false">IF($A343="","",COUNTIF($A$6:$A343,$A343)&amp;". Wunsch")</f>
        <v/>
      </c>
      <c r="H343" s="13" t="str">
        <f aca="false">IF(OR($A343="",$B343="",$C343="",$C343&lt;$B343),"",NETWORKDAYS($B343,$C343,Einstellungen!$N$7:$N$40))</f>
        <v/>
      </c>
      <c r="I343" s="12" t="str">
        <f aca="false">IF($A343="","",IF(OR($B343="",$C343=""),"Von und Bis eintragen",IF($C343&lt;$B343,"Bis liegt vor Von",IF(ISNA(MATCH($A343,Team!$A$5:$A$64,0)),"Name fehlt im Blatt Team",IF(COUNTIFS($A$6:$A$605,$A343,$B$6:$B$605,"&lt;="&amp;$C343,$C$6:$C$605,"&gt;="&amp;$B343)&gt;1,"Überschneidet sich mit eigenem Wunsch",IF(OR($B343&lt;Einstellungen!$B$3,$C343&gt;Einstellungen!$B$4),"Teils außerhalb des Planungsjahres","ok"))))))</f>
        <v/>
      </c>
      <c r="J343" s="14"/>
    </row>
    <row r="344" customFormat="false" ht="15" hidden="false" customHeight="false" outlineLevel="0" collapsed="false">
      <c r="A344" s="15"/>
      <c r="B344" s="14"/>
      <c r="C344" s="14"/>
      <c r="D344" s="15"/>
      <c r="E344" s="15"/>
      <c r="F344" s="12" t="str">
        <f aca="false">IF($A344="","",IFERROR(INDEX(Team!$B$5:$B$64,MATCH($A344,Team!$A$5:$A$64,0)),"?"))</f>
        <v/>
      </c>
      <c r="G344" s="13" t="str">
        <f aca="false">IF($A344="","",COUNTIF($A$6:$A344,$A344)&amp;". Wunsch")</f>
        <v/>
      </c>
      <c r="H344" s="13" t="str">
        <f aca="false">IF(OR($A344="",$B344="",$C344="",$C344&lt;$B344),"",NETWORKDAYS($B344,$C344,Einstellungen!$N$7:$N$40))</f>
        <v/>
      </c>
      <c r="I344" s="12" t="str">
        <f aca="false">IF($A344="","",IF(OR($B344="",$C344=""),"Von und Bis eintragen",IF($C344&lt;$B344,"Bis liegt vor Von",IF(ISNA(MATCH($A344,Team!$A$5:$A$64,0)),"Name fehlt im Blatt Team",IF(COUNTIFS($A$6:$A$605,$A344,$B$6:$B$605,"&lt;="&amp;$C344,$C$6:$C$605,"&gt;="&amp;$B344)&gt;1,"Überschneidet sich mit eigenem Wunsch",IF(OR($B344&lt;Einstellungen!$B$3,$C344&gt;Einstellungen!$B$4),"Teils außerhalb des Planungsjahres","ok"))))))</f>
        <v/>
      </c>
      <c r="J344" s="14"/>
    </row>
    <row r="345" customFormat="false" ht="15" hidden="false" customHeight="false" outlineLevel="0" collapsed="false">
      <c r="A345" s="15"/>
      <c r="B345" s="14"/>
      <c r="C345" s="14"/>
      <c r="D345" s="15"/>
      <c r="E345" s="15"/>
      <c r="F345" s="12" t="str">
        <f aca="false">IF($A345="","",IFERROR(INDEX(Team!$B$5:$B$64,MATCH($A345,Team!$A$5:$A$64,0)),"?"))</f>
        <v/>
      </c>
      <c r="G345" s="13" t="str">
        <f aca="false">IF($A345="","",COUNTIF($A$6:$A345,$A345)&amp;". Wunsch")</f>
        <v/>
      </c>
      <c r="H345" s="13" t="str">
        <f aca="false">IF(OR($A345="",$B345="",$C345="",$C345&lt;$B345),"",NETWORKDAYS($B345,$C345,Einstellungen!$N$7:$N$40))</f>
        <v/>
      </c>
      <c r="I345" s="12" t="str">
        <f aca="false">IF($A345="","",IF(OR($B345="",$C345=""),"Von und Bis eintragen",IF($C345&lt;$B345,"Bis liegt vor Von",IF(ISNA(MATCH($A345,Team!$A$5:$A$64,0)),"Name fehlt im Blatt Team",IF(COUNTIFS($A$6:$A$605,$A345,$B$6:$B$605,"&lt;="&amp;$C345,$C$6:$C$605,"&gt;="&amp;$B345)&gt;1,"Überschneidet sich mit eigenem Wunsch",IF(OR($B345&lt;Einstellungen!$B$3,$C345&gt;Einstellungen!$B$4),"Teils außerhalb des Planungsjahres","ok"))))))</f>
        <v/>
      </c>
      <c r="J345" s="14"/>
    </row>
    <row r="346" customFormat="false" ht="15" hidden="false" customHeight="false" outlineLevel="0" collapsed="false">
      <c r="A346" s="15"/>
      <c r="B346" s="14"/>
      <c r="C346" s="14"/>
      <c r="D346" s="15"/>
      <c r="E346" s="15"/>
      <c r="F346" s="12" t="str">
        <f aca="false">IF($A346="","",IFERROR(INDEX(Team!$B$5:$B$64,MATCH($A346,Team!$A$5:$A$64,0)),"?"))</f>
        <v/>
      </c>
      <c r="G346" s="13" t="str">
        <f aca="false">IF($A346="","",COUNTIF($A$6:$A346,$A346)&amp;". Wunsch")</f>
        <v/>
      </c>
      <c r="H346" s="13" t="str">
        <f aca="false">IF(OR($A346="",$B346="",$C346="",$C346&lt;$B346),"",NETWORKDAYS($B346,$C346,Einstellungen!$N$7:$N$40))</f>
        <v/>
      </c>
      <c r="I346" s="12" t="str">
        <f aca="false">IF($A346="","",IF(OR($B346="",$C346=""),"Von und Bis eintragen",IF($C346&lt;$B346,"Bis liegt vor Von",IF(ISNA(MATCH($A346,Team!$A$5:$A$64,0)),"Name fehlt im Blatt Team",IF(COUNTIFS($A$6:$A$605,$A346,$B$6:$B$605,"&lt;="&amp;$C346,$C$6:$C$605,"&gt;="&amp;$B346)&gt;1,"Überschneidet sich mit eigenem Wunsch",IF(OR($B346&lt;Einstellungen!$B$3,$C346&gt;Einstellungen!$B$4),"Teils außerhalb des Planungsjahres","ok"))))))</f>
        <v/>
      </c>
      <c r="J346" s="14"/>
    </row>
    <row r="347" customFormat="false" ht="15" hidden="false" customHeight="false" outlineLevel="0" collapsed="false">
      <c r="A347" s="15"/>
      <c r="B347" s="14"/>
      <c r="C347" s="14"/>
      <c r="D347" s="15"/>
      <c r="E347" s="15"/>
      <c r="F347" s="12" t="str">
        <f aca="false">IF($A347="","",IFERROR(INDEX(Team!$B$5:$B$64,MATCH($A347,Team!$A$5:$A$64,0)),"?"))</f>
        <v/>
      </c>
      <c r="G347" s="13" t="str">
        <f aca="false">IF($A347="","",COUNTIF($A$6:$A347,$A347)&amp;". Wunsch")</f>
        <v/>
      </c>
      <c r="H347" s="13" t="str">
        <f aca="false">IF(OR($A347="",$B347="",$C347="",$C347&lt;$B347),"",NETWORKDAYS($B347,$C347,Einstellungen!$N$7:$N$40))</f>
        <v/>
      </c>
      <c r="I347" s="12" t="str">
        <f aca="false">IF($A347="","",IF(OR($B347="",$C347=""),"Von und Bis eintragen",IF($C347&lt;$B347,"Bis liegt vor Von",IF(ISNA(MATCH($A347,Team!$A$5:$A$64,0)),"Name fehlt im Blatt Team",IF(COUNTIFS($A$6:$A$605,$A347,$B$6:$B$605,"&lt;="&amp;$C347,$C$6:$C$605,"&gt;="&amp;$B347)&gt;1,"Überschneidet sich mit eigenem Wunsch",IF(OR($B347&lt;Einstellungen!$B$3,$C347&gt;Einstellungen!$B$4),"Teils außerhalb des Planungsjahres","ok"))))))</f>
        <v/>
      </c>
      <c r="J347" s="14"/>
    </row>
    <row r="348" customFormat="false" ht="15" hidden="false" customHeight="false" outlineLevel="0" collapsed="false">
      <c r="A348" s="15"/>
      <c r="B348" s="14"/>
      <c r="C348" s="14"/>
      <c r="D348" s="15"/>
      <c r="E348" s="15"/>
      <c r="F348" s="12" t="str">
        <f aca="false">IF($A348="","",IFERROR(INDEX(Team!$B$5:$B$64,MATCH($A348,Team!$A$5:$A$64,0)),"?"))</f>
        <v/>
      </c>
      <c r="G348" s="13" t="str">
        <f aca="false">IF($A348="","",COUNTIF($A$6:$A348,$A348)&amp;". Wunsch")</f>
        <v/>
      </c>
      <c r="H348" s="13" t="str">
        <f aca="false">IF(OR($A348="",$B348="",$C348="",$C348&lt;$B348),"",NETWORKDAYS($B348,$C348,Einstellungen!$N$7:$N$40))</f>
        <v/>
      </c>
      <c r="I348" s="12" t="str">
        <f aca="false">IF($A348="","",IF(OR($B348="",$C348=""),"Von und Bis eintragen",IF($C348&lt;$B348,"Bis liegt vor Von",IF(ISNA(MATCH($A348,Team!$A$5:$A$64,0)),"Name fehlt im Blatt Team",IF(COUNTIFS($A$6:$A$605,$A348,$B$6:$B$605,"&lt;="&amp;$C348,$C$6:$C$605,"&gt;="&amp;$B348)&gt;1,"Überschneidet sich mit eigenem Wunsch",IF(OR($B348&lt;Einstellungen!$B$3,$C348&gt;Einstellungen!$B$4),"Teils außerhalb des Planungsjahres","ok"))))))</f>
        <v/>
      </c>
      <c r="J348" s="14"/>
    </row>
    <row r="349" customFormat="false" ht="15" hidden="false" customHeight="false" outlineLevel="0" collapsed="false">
      <c r="A349" s="15"/>
      <c r="B349" s="14"/>
      <c r="C349" s="14"/>
      <c r="D349" s="15"/>
      <c r="E349" s="15"/>
      <c r="F349" s="12" t="str">
        <f aca="false">IF($A349="","",IFERROR(INDEX(Team!$B$5:$B$64,MATCH($A349,Team!$A$5:$A$64,0)),"?"))</f>
        <v/>
      </c>
      <c r="G349" s="13" t="str">
        <f aca="false">IF($A349="","",COUNTIF($A$6:$A349,$A349)&amp;". Wunsch")</f>
        <v/>
      </c>
      <c r="H349" s="13" t="str">
        <f aca="false">IF(OR($A349="",$B349="",$C349="",$C349&lt;$B349),"",NETWORKDAYS($B349,$C349,Einstellungen!$N$7:$N$40))</f>
        <v/>
      </c>
      <c r="I349" s="12" t="str">
        <f aca="false">IF($A349="","",IF(OR($B349="",$C349=""),"Von und Bis eintragen",IF($C349&lt;$B349,"Bis liegt vor Von",IF(ISNA(MATCH($A349,Team!$A$5:$A$64,0)),"Name fehlt im Blatt Team",IF(COUNTIFS($A$6:$A$605,$A349,$B$6:$B$605,"&lt;="&amp;$C349,$C$6:$C$605,"&gt;="&amp;$B349)&gt;1,"Überschneidet sich mit eigenem Wunsch",IF(OR($B349&lt;Einstellungen!$B$3,$C349&gt;Einstellungen!$B$4),"Teils außerhalb des Planungsjahres","ok"))))))</f>
        <v/>
      </c>
      <c r="J349" s="14"/>
    </row>
    <row r="350" customFormat="false" ht="15" hidden="false" customHeight="false" outlineLevel="0" collapsed="false">
      <c r="A350" s="15"/>
      <c r="B350" s="14"/>
      <c r="C350" s="14"/>
      <c r="D350" s="15"/>
      <c r="E350" s="15"/>
      <c r="F350" s="12" t="str">
        <f aca="false">IF($A350="","",IFERROR(INDEX(Team!$B$5:$B$64,MATCH($A350,Team!$A$5:$A$64,0)),"?"))</f>
        <v/>
      </c>
      <c r="G350" s="13" t="str">
        <f aca="false">IF($A350="","",COUNTIF($A$6:$A350,$A350)&amp;". Wunsch")</f>
        <v/>
      </c>
      <c r="H350" s="13" t="str">
        <f aca="false">IF(OR($A350="",$B350="",$C350="",$C350&lt;$B350),"",NETWORKDAYS($B350,$C350,Einstellungen!$N$7:$N$40))</f>
        <v/>
      </c>
      <c r="I350" s="12" t="str">
        <f aca="false">IF($A350="","",IF(OR($B350="",$C350=""),"Von und Bis eintragen",IF($C350&lt;$B350,"Bis liegt vor Von",IF(ISNA(MATCH($A350,Team!$A$5:$A$64,0)),"Name fehlt im Blatt Team",IF(COUNTIFS($A$6:$A$605,$A350,$B$6:$B$605,"&lt;="&amp;$C350,$C$6:$C$605,"&gt;="&amp;$B350)&gt;1,"Überschneidet sich mit eigenem Wunsch",IF(OR($B350&lt;Einstellungen!$B$3,$C350&gt;Einstellungen!$B$4),"Teils außerhalb des Planungsjahres","ok"))))))</f>
        <v/>
      </c>
      <c r="J350" s="14"/>
    </row>
    <row r="351" customFormat="false" ht="15" hidden="false" customHeight="false" outlineLevel="0" collapsed="false">
      <c r="A351" s="15"/>
      <c r="B351" s="14"/>
      <c r="C351" s="14"/>
      <c r="D351" s="15"/>
      <c r="E351" s="15"/>
      <c r="F351" s="12" t="str">
        <f aca="false">IF($A351="","",IFERROR(INDEX(Team!$B$5:$B$64,MATCH($A351,Team!$A$5:$A$64,0)),"?"))</f>
        <v/>
      </c>
      <c r="G351" s="13" t="str">
        <f aca="false">IF($A351="","",COUNTIF($A$6:$A351,$A351)&amp;". Wunsch")</f>
        <v/>
      </c>
      <c r="H351" s="13" t="str">
        <f aca="false">IF(OR($A351="",$B351="",$C351="",$C351&lt;$B351),"",NETWORKDAYS($B351,$C351,Einstellungen!$N$7:$N$40))</f>
        <v/>
      </c>
      <c r="I351" s="12" t="str">
        <f aca="false">IF($A351="","",IF(OR($B351="",$C351=""),"Von und Bis eintragen",IF($C351&lt;$B351,"Bis liegt vor Von",IF(ISNA(MATCH($A351,Team!$A$5:$A$64,0)),"Name fehlt im Blatt Team",IF(COUNTIFS($A$6:$A$605,$A351,$B$6:$B$605,"&lt;="&amp;$C351,$C$6:$C$605,"&gt;="&amp;$B351)&gt;1,"Überschneidet sich mit eigenem Wunsch",IF(OR($B351&lt;Einstellungen!$B$3,$C351&gt;Einstellungen!$B$4),"Teils außerhalb des Planungsjahres","ok"))))))</f>
        <v/>
      </c>
      <c r="J351" s="14"/>
    </row>
    <row r="352" customFormat="false" ht="15" hidden="false" customHeight="false" outlineLevel="0" collapsed="false">
      <c r="A352" s="15"/>
      <c r="B352" s="14"/>
      <c r="C352" s="14"/>
      <c r="D352" s="15"/>
      <c r="E352" s="15"/>
      <c r="F352" s="12" t="str">
        <f aca="false">IF($A352="","",IFERROR(INDEX(Team!$B$5:$B$64,MATCH($A352,Team!$A$5:$A$64,0)),"?"))</f>
        <v/>
      </c>
      <c r="G352" s="13" t="str">
        <f aca="false">IF($A352="","",COUNTIF($A$6:$A352,$A352)&amp;". Wunsch")</f>
        <v/>
      </c>
      <c r="H352" s="13" t="str">
        <f aca="false">IF(OR($A352="",$B352="",$C352="",$C352&lt;$B352),"",NETWORKDAYS($B352,$C352,Einstellungen!$N$7:$N$40))</f>
        <v/>
      </c>
      <c r="I352" s="12" t="str">
        <f aca="false">IF($A352="","",IF(OR($B352="",$C352=""),"Von und Bis eintragen",IF($C352&lt;$B352,"Bis liegt vor Von",IF(ISNA(MATCH($A352,Team!$A$5:$A$64,0)),"Name fehlt im Blatt Team",IF(COUNTIFS($A$6:$A$605,$A352,$B$6:$B$605,"&lt;="&amp;$C352,$C$6:$C$605,"&gt;="&amp;$B352)&gt;1,"Überschneidet sich mit eigenem Wunsch",IF(OR($B352&lt;Einstellungen!$B$3,$C352&gt;Einstellungen!$B$4),"Teils außerhalb des Planungsjahres","ok"))))))</f>
        <v/>
      </c>
      <c r="J352" s="14"/>
    </row>
    <row r="353" customFormat="false" ht="15" hidden="false" customHeight="false" outlineLevel="0" collapsed="false">
      <c r="A353" s="15"/>
      <c r="B353" s="14"/>
      <c r="C353" s="14"/>
      <c r="D353" s="15"/>
      <c r="E353" s="15"/>
      <c r="F353" s="12" t="str">
        <f aca="false">IF($A353="","",IFERROR(INDEX(Team!$B$5:$B$64,MATCH($A353,Team!$A$5:$A$64,0)),"?"))</f>
        <v/>
      </c>
      <c r="G353" s="13" t="str">
        <f aca="false">IF($A353="","",COUNTIF($A$6:$A353,$A353)&amp;". Wunsch")</f>
        <v/>
      </c>
      <c r="H353" s="13" t="str">
        <f aca="false">IF(OR($A353="",$B353="",$C353="",$C353&lt;$B353),"",NETWORKDAYS($B353,$C353,Einstellungen!$N$7:$N$40))</f>
        <v/>
      </c>
      <c r="I353" s="12" t="str">
        <f aca="false">IF($A353="","",IF(OR($B353="",$C353=""),"Von und Bis eintragen",IF($C353&lt;$B353,"Bis liegt vor Von",IF(ISNA(MATCH($A353,Team!$A$5:$A$64,0)),"Name fehlt im Blatt Team",IF(COUNTIFS($A$6:$A$605,$A353,$B$6:$B$605,"&lt;="&amp;$C353,$C$6:$C$605,"&gt;="&amp;$B353)&gt;1,"Überschneidet sich mit eigenem Wunsch",IF(OR($B353&lt;Einstellungen!$B$3,$C353&gt;Einstellungen!$B$4),"Teils außerhalb des Planungsjahres","ok"))))))</f>
        <v/>
      </c>
      <c r="J353" s="14"/>
    </row>
    <row r="354" customFormat="false" ht="15" hidden="false" customHeight="false" outlineLevel="0" collapsed="false">
      <c r="A354" s="15"/>
      <c r="B354" s="14"/>
      <c r="C354" s="14"/>
      <c r="D354" s="15"/>
      <c r="E354" s="15"/>
      <c r="F354" s="12" t="str">
        <f aca="false">IF($A354="","",IFERROR(INDEX(Team!$B$5:$B$64,MATCH($A354,Team!$A$5:$A$64,0)),"?"))</f>
        <v/>
      </c>
      <c r="G354" s="13" t="str">
        <f aca="false">IF($A354="","",COUNTIF($A$6:$A354,$A354)&amp;". Wunsch")</f>
        <v/>
      </c>
      <c r="H354" s="13" t="str">
        <f aca="false">IF(OR($A354="",$B354="",$C354="",$C354&lt;$B354),"",NETWORKDAYS($B354,$C354,Einstellungen!$N$7:$N$40))</f>
        <v/>
      </c>
      <c r="I354" s="12" t="str">
        <f aca="false">IF($A354="","",IF(OR($B354="",$C354=""),"Von und Bis eintragen",IF($C354&lt;$B354,"Bis liegt vor Von",IF(ISNA(MATCH($A354,Team!$A$5:$A$64,0)),"Name fehlt im Blatt Team",IF(COUNTIFS($A$6:$A$605,$A354,$B$6:$B$605,"&lt;="&amp;$C354,$C$6:$C$605,"&gt;="&amp;$B354)&gt;1,"Überschneidet sich mit eigenem Wunsch",IF(OR($B354&lt;Einstellungen!$B$3,$C354&gt;Einstellungen!$B$4),"Teils außerhalb des Planungsjahres","ok"))))))</f>
        <v/>
      </c>
      <c r="J354" s="14"/>
    </row>
    <row r="355" customFormat="false" ht="15" hidden="false" customHeight="false" outlineLevel="0" collapsed="false">
      <c r="A355" s="15"/>
      <c r="B355" s="14"/>
      <c r="C355" s="14"/>
      <c r="D355" s="15"/>
      <c r="E355" s="15"/>
      <c r="F355" s="12" t="str">
        <f aca="false">IF($A355="","",IFERROR(INDEX(Team!$B$5:$B$64,MATCH($A355,Team!$A$5:$A$64,0)),"?"))</f>
        <v/>
      </c>
      <c r="G355" s="13" t="str">
        <f aca="false">IF($A355="","",COUNTIF($A$6:$A355,$A355)&amp;". Wunsch")</f>
        <v/>
      </c>
      <c r="H355" s="13" t="str">
        <f aca="false">IF(OR($A355="",$B355="",$C355="",$C355&lt;$B355),"",NETWORKDAYS($B355,$C355,Einstellungen!$N$7:$N$40))</f>
        <v/>
      </c>
      <c r="I355" s="12" t="str">
        <f aca="false">IF($A355="","",IF(OR($B355="",$C355=""),"Von und Bis eintragen",IF($C355&lt;$B355,"Bis liegt vor Von",IF(ISNA(MATCH($A355,Team!$A$5:$A$64,0)),"Name fehlt im Blatt Team",IF(COUNTIFS($A$6:$A$605,$A355,$B$6:$B$605,"&lt;="&amp;$C355,$C$6:$C$605,"&gt;="&amp;$B355)&gt;1,"Überschneidet sich mit eigenem Wunsch",IF(OR($B355&lt;Einstellungen!$B$3,$C355&gt;Einstellungen!$B$4),"Teils außerhalb des Planungsjahres","ok"))))))</f>
        <v/>
      </c>
      <c r="J355" s="14"/>
    </row>
    <row r="356" customFormat="false" ht="15" hidden="false" customHeight="false" outlineLevel="0" collapsed="false">
      <c r="A356" s="15"/>
      <c r="B356" s="14"/>
      <c r="C356" s="14"/>
      <c r="D356" s="15"/>
      <c r="E356" s="15"/>
      <c r="F356" s="12" t="str">
        <f aca="false">IF($A356="","",IFERROR(INDEX(Team!$B$5:$B$64,MATCH($A356,Team!$A$5:$A$64,0)),"?"))</f>
        <v/>
      </c>
      <c r="G356" s="13" t="str">
        <f aca="false">IF($A356="","",COUNTIF($A$6:$A356,$A356)&amp;". Wunsch")</f>
        <v/>
      </c>
      <c r="H356" s="13" t="str">
        <f aca="false">IF(OR($A356="",$B356="",$C356="",$C356&lt;$B356),"",NETWORKDAYS($B356,$C356,Einstellungen!$N$7:$N$40))</f>
        <v/>
      </c>
      <c r="I356" s="12" t="str">
        <f aca="false">IF($A356="","",IF(OR($B356="",$C356=""),"Von und Bis eintragen",IF($C356&lt;$B356,"Bis liegt vor Von",IF(ISNA(MATCH($A356,Team!$A$5:$A$64,0)),"Name fehlt im Blatt Team",IF(COUNTIFS($A$6:$A$605,$A356,$B$6:$B$605,"&lt;="&amp;$C356,$C$6:$C$605,"&gt;="&amp;$B356)&gt;1,"Überschneidet sich mit eigenem Wunsch",IF(OR($B356&lt;Einstellungen!$B$3,$C356&gt;Einstellungen!$B$4),"Teils außerhalb des Planungsjahres","ok"))))))</f>
        <v/>
      </c>
      <c r="J356" s="14"/>
    </row>
    <row r="357" customFormat="false" ht="15" hidden="false" customHeight="false" outlineLevel="0" collapsed="false">
      <c r="A357" s="15"/>
      <c r="B357" s="14"/>
      <c r="C357" s="14"/>
      <c r="D357" s="15"/>
      <c r="E357" s="15"/>
      <c r="F357" s="12" t="str">
        <f aca="false">IF($A357="","",IFERROR(INDEX(Team!$B$5:$B$64,MATCH($A357,Team!$A$5:$A$64,0)),"?"))</f>
        <v/>
      </c>
      <c r="G357" s="13" t="str">
        <f aca="false">IF($A357="","",COUNTIF($A$6:$A357,$A357)&amp;". Wunsch")</f>
        <v/>
      </c>
      <c r="H357" s="13" t="str">
        <f aca="false">IF(OR($A357="",$B357="",$C357="",$C357&lt;$B357),"",NETWORKDAYS($B357,$C357,Einstellungen!$N$7:$N$40))</f>
        <v/>
      </c>
      <c r="I357" s="12" t="str">
        <f aca="false">IF($A357="","",IF(OR($B357="",$C357=""),"Von und Bis eintragen",IF($C357&lt;$B357,"Bis liegt vor Von",IF(ISNA(MATCH($A357,Team!$A$5:$A$64,0)),"Name fehlt im Blatt Team",IF(COUNTIFS($A$6:$A$605,$A357,$B$6:$B$605,"&lt;="&amp;$C357,$C$6:$C$605,"&gt;="&amp;$B357)&gt;1,"Überschneidet sich mit eigenem Wunsch",IF(OR($B357&lt;Einstellungen!$B$3,$C357&gt;Einstellungen!$B$4),"Teils außerhalb des Planungsjahres","ok"))))))</f>
        <v/>
      </c>
      <c r="J357" s="14"/>
    </row>
    <row r="358" customFormat="false" ht="15" hidden="false" customHeight="false" outlineLevel="0" collapsed="false">
      <c r="A358" s="15"/>
      <c r="B358" s="14"/>
      <c r="C358" s="14"/>
      <c r="D358" s="15"/>
      <c r="E358" s="15"/>
      <c r="F358" s="12" t="str">
        <f aca="false">IF($A358="","",IFERROR(INDEX(Team!$B$5:$B$64,MATCH($A358,Team!$A$5:$A$64,0)),"?"))</f>
        <v/>
      </c>
      <c r="G358" s="13" t="str">
        <f aca="false">IF($A358="","",COUNTIF($A$6:$A358,$A358)&amp;". Wunsch")</f>
        <v/>
      </c>
      <c r="H358" s="13" t="str">
        <f aca="false">IF(OR($A358="",$B358="",$C358="",$C358&lt;$B358),"",NETWORKDAYS($B358,$C358,Einstellungen!$N$7:$N$40))</f>
        <v/>
      </c>
      <c r="I358" s="12" t="str">
        <f aca="false">IF($A358="","",IF(OR($B358="",$C358=""),"Von und Bis eintragen",IF($C358&lt;$B358,"Bis liegt vor Von",IF(ISNA(MATCH($A358,Team!$A$5:$A$64,0)),"Name fehlt im Blatt Team",IF(COUNTIFS($A$6:$A$605,$A358,$B$6:$B$605,"&lt;="&amp;$C358,$C$6:$C$605,"&gt;="&amp;$B358)&gt;1,"Überschneidet sich mit eigenem Wunsch",IF(OR($B358&lt;Einstellungen!$B$3,$C358&gt;Einstellungen!$B$4),"Teils außerhalb des Planungsjahres","ok"))))))</f>
        <v/>
      </c>
      <c r="J358" s="14"/>
    </row>
    <row r="359" customFormat="false" ht="15" hidden="false" customHeight="false" outlineLevel="0" collapsed="false">
      <c r="A359" s="15"/>
      <c r="B359" s="14"/>
      <c r="C359" s="14"/>
      <c r="D359" s="15"/>
      <c r="E359" s="15"/>
      <c r="F359" s="12" t="str">
        <f aca="false">IF($A359="","",IFERROR(INDEX(Team!$B$5:$B$64,MATCH($A359,Team!$A$5:$A$64,0)),"?"))</f>
        <v/>
      </c>
      <c r="G359" s="13" t="str">
        <f aca="false">IF($A359="","",COUNTIF($A$6:$A359,$A359)&amp;". Wunsch")</f>
        <v/>
      </c>
      <c r="H359" s="13" t="str">
        <f aca="false">IF(OR($A359="",$B359="",$C359="",$C359&lt;$B359),"",NETWORKDAYS($B359,$C359,Einstellungen!$N$7:$N$40))</f>
        <v/>
      </c>
      <c r="I359" s="12" t="str">
        <f aca="false">IF($A359="","",IF(OR($B359="",$C359=""),"Von und Bis eintragen",IF($C359&lt;$B359,"Bis liegt vor Von",IF(ISNA(MATCH($A359,Team!$A$5:$A$64,0)),"Name fehlt im Blatt Team",IF(COUNTIFS($A$6:$A$605,$A359,$B$6:$B$605,"&lt;="&amp;$C359,$C$6:$C$605,"&gt;="&amp;$B359)&gt;1,"Überschneidet sich mit eigenem Wunsch",IF(OR($B359&lt;Einstellungen!$B$3,$C359&gt;Einstellungen!$B$4),"Teils außerhalb des Planungsjahres","ok"))))))</f>
        <v/>
      </c>
      <c r="J359" s="14"/>
    </row>
    <row r="360" customFormat="false" ht="15" hidden="false" customHeight="false" outlineLevel="0" collapsed="false">
      <c r="A360" s="15"/>
      <c r="B360" s="14"/>
      <c r="C360" s="14"/>
      <c r="D360" s="15"/>
      <c r="E360" s="15"/>
      <c r="F360" s="12" t="str">
        <f aca="false">IF($A360="","",IFERROR(INDEX(Team!$B$5:$B$64,MATCH($A360,Team!$A$5:$A$64,0)),"?"))</f>
        <v/>
      </c>
      <c r="G360" s="13" t="str">
        <f aca="false">IF($A360="","",COUNTIF($A$6:$A360,$A360)&amp;". Wunsch")</f>
        <v/>
      </c>
      <c r="H360" s="13" t="str">
        <f aca="false">IF(OR($A360="",$B360="",$C360="",$C360&lt;$B360),"",NETWORKDAYS($B360,$C360,Einstellungen!$N$7:$N$40))</f>
        <v/>
      </c>
      <c r="I360" s="12" t="str">
        <f aca="false">IF($A360="","",IF(OR($B360="",$C360=""),"Von und Bis eintragen",IF($C360&lt;$B360,"Bis liegt vor Von",IF(ISNA(MATCH($A360,Team!$A$5:$A$64,0)),"Name fehlt im Blatt Team",IF(COUNTIFS($A$6:$A$605,$A360,$B$6:$B$605,"&lt;="&amp;$C360,$C$6:$C$605,"&gt;="&amp;$B360)&gt;1,"Überschneidet sich mit eigenem Wunsch",IF(OR($B360&lt;Einstellungen!$B$3,$C360&gt;Einstellungen!$B$4),"Teils außerhalb des Planungsjahres","ok"))))))</f>
        <v/>
      </c>
      <c r="J360" s="14"/>
    </row>
    <row r="361" customFormat="false" ht="15" hidden="false" customHeight="false" outlineLevel="0" collapsed="false">
      <c r="A361" s="15"/>
      <c r="B361" s="14"/>
      <c r="C361" s="14"/>
      <c r="D361" s="15"/>
      <c r="E361" s="15"/>
      <c r="F361" s="12" t="str">
        <f aca="false">IF($A361="","",IFERROR(INDEX(Team!$B$5:$B$64,MATCH($A361,Team!$A$5:$A$64,0)),"?"))</f>
        <v/>
      </c>
      <c r="G361" s="13" t="str">
        <f aca="false">IF($A361="","",COUNTIF($A$6:$A361,$A361)&amp;". Wunsch")</f>
        <v/>
      </c>
      <c r="H361" s="13" t="str">
        <f aca="false">IF(OR($A361="",$B361="",$C361="",$C361&lt;$B361),"",NETWORKDAYS($B361,$C361,Einstellungen!$N$7:$N$40))</f>
        <v/>
      </c>
      <c r="I361" s="12" t="str">
        <f aca="false">IF($A361="","",IF(OR($B361="",$C361=""),"Von und Bis eintragen",IF($C361&lt;$B361,"Bis liegt vor Von",IF(ISNA(MATCH($A361,Team!$A$5:$A$64,0)),"Name fehlt im Blatt Team",IF(COUNTIFS($A$6:$A$605,$A361,$B$6:$B$605,"&lt;="&amp;$C361,$C$6:$C$605,"&gt;="&amp;$B361)&gt;1,"Überschneidet sich mit eigenem Wunsch",IF(OR($B361&lt;Einstellungen!$B$3,$C361&gt;Einstellungen!$B$4),"Teils außerhalb des Planungsjahres","ok"))))))</f>
        <v/>
      </c>
      <c r="J361" s="14"/>
    </row>
    <row r="362" customFormat="false" ht="15" hidden="false" customHeight="false" outlineLevel="0" collapsed="false">
      <c r="A362" s="15"/>
      <c r="B362" s="14"/>
      <c r="C362" s="14"/>
      <c r="D362" s="15"/>
      <c r="E362" s="15"/>
      <c r="F362" s="12" t="str">
        <f aca="false">IF($A362="","",IFERROR(INDEX(Team!$B$5:$B$64,MATCH($A362,Team!$A$5:$A$64,0)),"?"))</f>
        <v/>
      </c>
      <c r="G362" s="13" t="str">
        <f aca="false">IF($A362="","",COUNTIF($A$6:$A362,$A362)&amp;". Wunsch")</f>
        <v/>
      </c>
      <c r="H362" s="13" t="str">
        <f aca="false">IF(OR($A362="",$B362="",$C362="",$C362&lt;$B362),"",NETWORKDAYS($B362,$C362,Einstellungen!$N$7:$N$40))</f>
        <v/>
      </c>
      <c r="I362" s="12" t="str">
        <f aca="false">IF($A362="","",IF(OR($B362="",$C362=""),"Von und Bis eintragen",IF($C362&lt;$B362,"Bis liegt vor Von",IF(ISNA(MATCH($A362,Team!$A$5:$A$64,0)),"Name fehlt im Blatt Team",IF(COUNTIFS($A$6:$A$605,$A362,$B$6:$B$605,"&lt;="&amp;$C362,$C$6:$C$605,"&gt;="&amp;$B362)&gt;1,"Überschneidet sich mit eigenem Wunsch",IF(OR($B362&lt;Einstellungen!$B$3,$C362&gt;Einstellungen!$B$4),"Teils außerhalb des Planungsjahres","ok"))))))</f>
        <v/>
      </c>
      <c r="J362" s="14"/>
    </row>
    <row r="363" customFormat="false" ht="15" hidden="false" customHeight="false" outlineLevel="0" collapsed="false">
      <c r="A363" s="15"/>
      <c r="B363" s="14"/>
      <c r="C363" s="14"/>
      <c r="D363" s="15"/>
      <c r="E363" s="15"/>
      <c r="F363" s="12" t="str">
        <f aca="false">IF($A363="","",IFERROR(INDEX(Team!$B$5:$B$64,MATCH($A363,Team!$A$5:$A$64,0)),"?"))</f>
        <v/>
      </c>
      <c r="G363" s="13" t="str">
        <f aca="false">IF($A363="","",COUNTIF($A$6:$A363,$A363)&amp;". Wunsch")</f>
        <v/>
      </c>
      <c r="H363" s="13" t="str">
        <f aca="false">IF(OR($A363="",$B363="",$C363="",$C363&lt;$B363),"",NETWORKDAYS($B363,$C363,Einstellungen!$N$7:$N$40))</f>
        <v/>
      </c>
      <c r="I363" s="12" t="str">
        <f aca="false">IF($A363="","",IF(OR($B363="",$C363=""),"Von und Bis eintragen",IF($C363&lt;$B363,"Bis liegt vor Von",IF(ISNA(MATCH($A363,Team!$A$5:$A$64,0)),"Name fehlt im Blatt Team",IF(COUNTIFS($A$6:$A$605,$A363,$B$6:$B$605,"&lt;="&amp;$C363,$C$6:$C$605,"&gt;="&amp;$B363)&gt;1,"Überschneidet sich mit eigenem Wunsch",IF(OR($B363&lt;Einstellungen!$B$3,$C363&gt;Einstellungen!$B$4),"Teils außerhalb des Planungsjahres","ok"))))))</f>
        <v/>
      </c>
      <c r="J363" s="14"/>
    </row>
    <row r="364" customFormat="false" ht="15" hidden="false" customHeight="false" outlineLevel="0" collapsed="false">
      <c r="A364" s="15"/>
      <c r="B364" s="14"/>
      <c r="C364" s="14"/>
      <c r="D364" s="15"/>
      <c r="E364" s="15"/>
      <c r="F364" s="12" t="str">
        <f aca="false">IF($A364="","",IFERROR(INDEX(Team!$B$5:$B$64,MATCH($A364,Team!$A$5:$A$64,0)),"?"))</f>
        <v/>
      </c>
      <c r="G364" s="13" t="str">
        <f aca="false">IF($A364="","",COUNTIF($A$6:$A364,$A364)&amp;". Wunsch")</f>
        <v/>
      </c>
      <c r="H364" s="13" t="str">
        <f aca="false">IF(OR($A364="",$B364="",$C364="",$C364&lt;$B364),"",NETWORKDAYS($B364,$C364,Einstellungen!$N$7:$N$40))</f>
        <v/>
      </c>
      <c r="I364" s="12" t="str">
        <f aca="false">IF($A364="","",IF(OR($B364="",$C364=""),"Von und Bis eintragen",IF($C364&lt;$B364,"Bis liegt vor Von",IF(ISNA(MATCH($A364,Team!$A$5:$A$64,0)),"Name fehlt im Blatt Team",IF(COUNTIFS($A$6:$A$605,$A364,$B$6:$B$605,"&lt;="&amp;$C364,$C$6:$C$605,"&gt;="&amp;$B364)&gt;1,"Überschneidet sich mit eigenem Wunsch",IF(OR($B364&lt;Einstellungen!$B$3,$C364&gt;Einstellungen!$B$4),"Teils außerhalb des Planungsjahres","ok"))))))</f>
        <v/>
      </c>
      <c r="J364" s="14"/>
    </row>
    <row r="365" customFormat="false" ht="15" hidden="false" customHeight="false" outlineLevel="0" collapsed="false">
      <c r="A365" s="15"/>
      <c r="B365" s="14"/>
      <c r="C365" s="14"/>
      <c r="D365" s="15"/>
      <c r="E365" s="15"/>
      <c r="F365" s="12" t="str">
        <f aca="false">IF($A365="","",IFERROR(INDEX(Team!$B$5:$B$64,MATCH($A365,Team!$A$5:$A$64,0)),"?"))</f>
        <v/>
      </c>
      <c r="G365" s="13" t="str">
        <f aca="false">IF($A365="","",COUNTIF($A$6:$A365,$A365)&amp;". Wunsch")</f>
        <v/>
      </c>
      <c r="H365" s="13" t="str">
        <f aca="false">IF(OR($A365="",$B365="",$C365="",$C365&lt;$B365),"",NETWORKDAYS($B365,$C365,Einstellungen!$N$7:$N$40))</f>
        <v/>
      </c>
      <c r="I365" s="12" t="str">
        <f aca="false">IF($A365="","",IF(OR($B365="",$C365=""),"Von und Bis eintragen",IF($C365&lt;$B365,"Bis liegt vor Von",IF(ISNA(MATCH($A365,Team!$A$5:$A$64,0)),"Name fehlt im Blatt Team",IF(COUNTIFS($A$6:$A$605,$A365,$B$6:$B$605,"&lt;="&amp;$C365,$C$6:$C$605,"&gt;="&amp;$B365)&gt;1,"Überschneidet sich mit eigenem Wunsch",IF(OR($B365&lt;Einstellungen!$B$3,$C365&gt;Einstellungen!$B$4),"Teils außerhalb des Planungsjahres","ok"))))))</f>
        <v/>
      </c>
      <c r="J365" s="14"/>
    </row>
    <row r="366" customFormat="false" ht="15" hidden="false" customHeight="false" outlineLevel="0" collapsed="false">
      <c r="A366" s="15"/>
      <c r="B366" s="14"/>
      <c r="C366" s="14"/>
      <c r="D366" s="15"/>
      <c r="E366" s="15"/>
      <c r="F366" s="12" t="str">
        <f aca="false">IF($A366="","",IFERROR(INDEX(Team!$B$5:$B$64,MATCH($A366,Team!$A$5:$A$64,0)),"?"))</f>
        <v/>
      </c>
      <c r="G366" s="13" t="str">
        <f aca="false">IF($A366="","",COUNTIF($A$6:$A366,$A366)&amp;". Wunsch")</f>
        <v/>
      </c>
      <c r="H366" s="13" t="str">
        <f aca="false">IF(OR($A366="",$B366="",$C366="",$C366&lt;$B366),"",NETWORKDAYS($B366,$C366,Einstellungen!$N$7:$N$40))</f>
        <v/>
      </c>
      <c r="I366" s="12" t="str">
        <f aca="false">IF($A366="","",IF(OR($B366="",$C366=""),"Von und Bis eintragen",IF($C366&lt;$B366,"Bis liegt vor Von",IF(ISNA(MATCH($A366,Team!$A$5:$A$64,0)),"Name fehlt im Blatt Team",IF(COUNTIFS($A$6:$A$605,$A366,$B$6:$B$605,"&lt;="&amp;$C366,$C$6:$C$605,"&gt;="&amp;$B366)&gt;1,"Überschneidet sich mit eigenem Wunsch",IF(OR($B366&lt;Einstellungen!$B$3,$C366&gt;Einstellungen!$B$4),"Teils außerhalb des Planungsjahres","ok"))))))</f>
        <v/>
      </c>
      <c r="J366" s="14"/>
    </row>
    <row r="367" customFormat="false" ht="15" hidden="false" customHeight="false" outlineLevel="0" collapsed="false">
      <c r="A367" s="15"/>
      <c r="B367" s="14"/>
      <c r="C367" s="14"/>
      <c r="D367" s="15"/>
      <c r="E367" s="15"/>
      <c r="F367" s="12" t="str">
        <f aca="false">IF($A367="","",IFERROR(INDEX(Team!$B$5:$B$64,MATCH($A367,Team!$A$5:$A$64,0)),"?"))</f>
        <v/>
      </c>
      <c r="G367" s="13" t="str">
        <f aca="false">IF($A367="","",COUNTIF($A$6:$A367,$A367)&amp;". Wunsch")</f>
        <v/>
      </c>
      <c r="H367" s="13" t="str">
        <f aca="false">IF(OR($A367="",$B367="",$C367="",$C367&lt;$B367),"",NETWORKDAYS($B367,$C367,Einstellungen!$N$7:$N$40))</f>
        <v/>
      </c>
      <c r="I367" s="12" t="str">
        <f aca="false">IF($A367="","",IF(OR($B367="",$C367=""),"Von und Bis eintragen",IF($C367&lt;$B367,"Bis liegt vor Von",IF(ISNA(MATCH($A367,Team!$A$5:$A$64,0)),"Name fehlt im Blatt Team",IF(COUNTIFS($A$6:$A$605,$A367,$B$6:$B$605,"&lt;="&amp;$C367,$C$6:$C$605,"&gt;="&amp;$B367)&gt;1,"Überschneidet sich mit eigenem Wunsch",IF(OR($B367&lt;Einstellungen!$B$3,$C367&gt;Einstellungen!$B$4),"Teils außerhalb des Planungsjahres","ok"))))))</f>
        <v/>
      </c>
      <c r="J367" s="14"/>
    </row>
    <row r="368" customFormat="false" ht="15" hidden="false" customHeight="false" outlineLevel="0" collapsed="false">
      <c r="A368" s="15"/>
      <c r="B368" s="14"/>
      <c r="C368" s="14"/>
      <c r="D368" s="15"/>
      <c r="E368" s="15"/>
      <c r="F368" s="12" t="str">
        <f aca="false">IF($A368="","",IFERROR(INDEX(Team!$B$5:$B$64,MATCH($A368,Team!$A$5:$A$64,0)),"?"))</f>
        <v/>
      </c>
      <c r="G368" s="13" t="str">
        <f aca="false">IF($A368="","",COUNTIF($A$6:$A368,$A368)&amp;". Wunsch")</f>
        <v/>
      </c>
      <c r="H368" s="13" t="str">
        <f aca="false">IF(OR($A368="",$B368="",$C368="",$C368&lt;$B368),"",NETWORKDAYS($B368,$C368,Einstellungen!$N$7:$N$40))</f>
        <v/>
      </c>
      <c r="I368" s="12" t="str">
        <f aca="false">IF($A368="","",IF(OR($B368="",$C368=""),"Von und Bis eintragen",IF($C368&lt;$B368,"Bis liegt vor Von",IF(ISNA(MATCH($A368,Team!$A$5:$A$64,0)),"Name fehlt im Blatt Team",IF(COUNTIFS($A$6:$A$605,$A368,$B$6:$B$605,"&lt;="&amp;$C368,$C$6:$C$605,"&gt;="&amp;$B368)&gt;1,"Überschneidet sich mit eigenem Wunsch",IF(OR($B368&lt;Einstellungen!$B$3,$C368&gt;Einstellungen!$B$4),"Teils außerhalb des Planungsjahres","ok"))))))</f>
        <v/>
      </c>
      <c r="J368" s="14"/>
    </row>
    <row r="369" customFormat="false" ht="15" hidden="false" customHeight="false" outlineLevel="0" collapsed="false">
      <c r="A369" s="15"/>
      <c r="B369" s="14"/>
      <c r="C369" s="14"/>
      <c r="D369" s="15"/>
      <c r="E369" s="15"/>
      <c r="F369" s="12" t="str">
        <f aca="false">IF($A369="","",IFERROR(INDEX(Team!$B$5:$B$64,MATCH($A369,Team!$A$5:$A$64,0)),"?"))</f>
        <v/>
      </c>
      <c r="G369" s="13" t="str">
        <f aca="false">IF($A369="","",COUNTIF($A$6:$A369,$A369)&amp;". Wunsch")</f>
        <v/>
      </c>
      <c r="H369" s="13" t="str">
        <f aca="false">IF(OR($A369="",$B369="",$C369="",$C369&lt;$B369),"",NETWORKDAYS($B369,$C369,Einstellungen!$N$7:$N$40))</f>
        <v/>
      </c>
      <c r="I369" s="12" t="str">
        <f aca="false">IF($A369="","",IF(OR($B369="",$C369=""),"Von und Bis eintragen",IF($C369&lt;$B369,"Bis liegt vor Von",IF(ISNA(MATCH($A369,Team!$A$5:$A$64,0)),"Name fehlt im Blatt Team",IF(COUNTIFS($A$6:$A$605,$A369,$B$6:$B$605,"&lt;="&amp;$C369,$C$6:$C$605,"&gt;="&amp;$B369)&gt;1,"Überschneidet sich mit eigenem Wunsch",IF(OR($B369&lt;Einstellungen!$B$3,$C369&gt;Einstellungen!$B$4),"Teils außerhalb des Planungsjahres","ok"))))))</f>
        <v/>
      </c>
      <c r="J369" s="14"/>
    </row>
    <row r="370" customFormat="false" ht="15" hidden="false" customHeight="false" outlineLevel="0" collapsed="false">
      <c r="A370" s="15"/>
      <c r="B370" s="14"/>
      <c r="C370" s="14"/>
      <c r="D370" s="15"/>
      <c r="E370" s="15"/>
      <c r="F370" s="12" t="str">
        <f aca="false">IF($A370="","",IFERROR(INDEX(Team!$B$5:$B$64,MATCH($A370,Team!$A$5:$A$64,0)),"?"))</f>
        <v/>
      </c>
      <c r="G370" s="13" t="str">
        <f aca="false">IF($A370="","",COUNTIF($A$6:$A370,$A370)&amp;". Wunsch")</f>
        <v/>
      </c>
      <c r="H370" s="13" t="str">
        <f aca="false">IF(OR($A370="",$B370="",$C370="",$C370&lt;$B370),"",NETWORKDAYS($B370,$C370,Einstellungen!$N$7:$N$40))</f>
        <v/>
      </c>
      <c r="I370" s="12" t="str">
        <f aca="false">IF($A370="","",IF(OR($B370="",$C370=""),"Von und Bis eintragen",IF($C370&lt;$B370,"Bis liegt vor Von",IF(ISNA(MATCH($A370,Team!$A$5:$A$64,0)),"Name fehlt im Blatt Team",IF(COUNTIFS($A$6:$A$605,$A370,$B$6:$B$605,"&lt;="&amp;$C370,$C$6:$C$605,"&gt;="&amp;$B370)&gt;1,"Überschneidet sich mit eigenem Wunsch",IF(OR($B370&lt;Einstellungen!$B$3,$C370&gt;Einstellungen!$B$4),"Teils außerhalb des Planungsjahres","ok"))))))</f>
        <v/>
      </c>
      <c r="J370" s="14"/>
    </row>
    <row r="371" customFormat="false" ht="15" hidden="false" customHeight="false" outlineLevel="0" collapsed="false">
      <c r="A371" s="15"/>
      <c r="B371" s="14"/>
      <c r="C371" s="14"/>
      <c r="D371" s="15"/>
      <c r="E371" s="15"/>
      <c r="F371" s="12" t="str">
        <f aca="false">IF($A371="","",IFERROR(INDEX(Team!$B$5:$B$64,MATCH($A371,Team!$A$5:$A$64,0)),"?"))</f>
        <v/>
      </c>
      <c r="G371" s="13" t="str">
        <f aca="false">IF($A371="","",COUNTIF($A$6:$A371,$A371)&amp;". Wunsch")</f>
        <v/>
      </c>
      <c r="H371" s="13" t="str">
        <f aca="false">IF(OR($A371="",$B371="",$C371="",$C371&lt;$B371),"",NETWORKDAYS($B371,$C371,Einstellungen!$N$7:$N$40))</f>
        <v/>
      </c>
      <c r="I371" s="12" t="str">
        <f aca="false">IF($A371="","",IF(OR($B371="",$C371=""),"Von und Bis eintragen",IF($C371&lt;$B371,"Bis liegt vor Von",IF(ISNA(MATCH($A371,Team!$A$5:$A$64,0)),"Name fehlt im Blatt Team",IF(COUNTIFS($A$6:$A$605,$A371,$B$6:$B$605,"&lt;="&amp;$C371,$C$6:$C$605,"&gt;="&amp;$B371)&gt;1,"Überschneidet sich mit eigenem Wunsch",IF(OR($B371&lt;Einstellungen!$B$3,$C371&gt;Einstellungen!$B$4),"Teils außerhalb des Planungsjahres","ok"))))))</f>
        <v/>
      </c>
      <c r="J371" s="14"/>
    </row>
    <row r="372" customFormat="false" ht="15" hidden="false" customHeight="false" outlineLevel="0" collapsed="false">
      <c r="A372" s="15"/>
      <c r="B372" s="14"/>
      <c r="C372" s="14"/>
      <c r="D372" s="15"/>
      <c r="E372" s="15"/>
      <c r="F372" s="12" t="str">
        <f aca="false">IF($A372="","",IFERROR(INDEX(Team!$B$5:$B$64,MATCH($A372,Team!$A$5:$A$64,0)),"?"))</f>
        <v/>
      </c>
      <c r="G372" s="13" t="str">
        <f aca="false">IF($A372="","",COUNTIF($A$6:$A372,$A372)&amp;". Wunsch")</f>
        <v/>
      </c>
      <c r="H372" s="13" t="str">
        <f aca="false">IF(OR($A372="",$B372="",$C372="",$C372&lt;$B372),"",NETWORKDAYS($B372,$C372,Einstellungen!$N$7:$N$40))</f>
        <v/>
      </c>
      <c r="I372" s="12" t="str">
        <f aca="false">IF($A372="","",IF(OR($B372="",$C372=""),"Von und Bis eintragen",IF($C372&lt;$B372,"Bis liegt vor Von",IF(ISNA(MATCH($A372,Team!$A$5:$A$64,0)),"Name fehlt im Blatt Team",IF(COUNTIFS($A$6:$A$605,$A372,$B$6:$B$605,"&lt;="&amp;$C372,$C$6:$C$605,"&gt;="&amp;$B372)&gt;1,"Überschneidet sich mit eigenem Wunsch",IF(OR($B372&lt;Einstellungen!$B$3,$C372&gt;Einstellungen!$B$4),"Teils außerhalb des Planungsjahres","ok"))))))</f>
        <v/>
      </c>
      <c r="J372" s="14"/>
    </row>
    <row r="373" customFormat="false" ht="15" hidden="false" customHeight="false" outlineLevel="0" collapsed="false">
      <c r="A373" s="15"/>
      <c r="B373" s="14"/>
      <c r="C373" s="14"/>
      <c r="D373" s="15"/>
      <c r="E373" s="15"/>
      <c r="F373" s="12" t="str">
        <f aca="false">IF($A373="","",IFERROR(INDEX(Team!$B$5:$B$64,MATCH($A373,Team!$A$5:$A$64,0)),"?"))</f>
        <v/>
      </c>
      <c r="G373" s="13" t="str">
        <f aca="false">IF($A373="","",COUNTIF($A$6:$A373,$A373)&amp;". Wunsch")</f>
        <v/>
      </c>
      <c r="H373" s="13" t="str">
        <f aca="false">IF(OR($A373="",$B373="",$C373="",$C373&lt;$B373),"",NETWORKDAYS($B373,$C373,Einstellungen!$N$7:$N$40))</f>
        <v/>
      </c>
      <c r="I373" s="12" t="str">
        <f aca="false">IF($A373="","",IF(OR($B373="",$C373=""),"Von und Bis eintragen",IF($C373&lt;$B373,"Bis liegt vor Von",IF(ISNA(MATCH($A373,Team!$A$5:$A$64,0)),"Name fehlt im Blatt Team",IF(COUNTIFS($A$6:$A$605,$A373,$B$6:$B$605,"&lt;="&amp;$C373,$C$6:$C$605,"&gt;="&amp;$B373)&gt;1,"Überschneidet sich mit eigenem Wunsch",IF(OR($B373&lt;Einstellungen!$B$3,$C373&gt;Einstellungen!$B$4),"Teils außerhalb des Planungsjahres","ok"))))))</f>
        <v/>
      </c>
      <c r="J373" s="14"/>
    </row>
    <row r="374" customFormat="false" ht="15" hidden="false" customHeight="false" outlineLevel="0" collapsed="false">
      <c r="A374" s="15"/>
      <c r="B374" s="14"/>
      <c r="C374" s="14"/>
      <c r="D374" s="15"/>
      <c r="E374" s="15"/>
      <c r="F374" s="12" t="str">
        <f aca="false">IF($A374="","",IFERROR(INDEX(Team!$B$5:$B$64,MATCH($A374,Team!$A$5:$A$64,0)),"?"))</f>
        <v/>
      </c>
      <c r="G374" s="13" t="str">
        <f aca="false">IF($A374="","",COUNTIF($A$6:$A374,$A374)&amp;". Wunsch")</f>
        <v/>
      </c>
      <c r="H374" s="13" t="str">
        <f aca="false">IF(OR($A374="",$B374="",$C374="",$C374&lt;$B374),"",NETWORKDAYS($B374,$C374,Einstellungen!$N$7:$N$40))</f>
        <v/>
      </c>
      <c r="I374" s="12" t="str">
        <f aca="false">IF($A374="","",IF(OR($B374="",$C374=""),"Von und Bis eintragen",IF($C374&lt;$B374,"Bis liegt vor Von",IF(ISNA(MATCH($A374,Team!$A$5:$A$64,0)),"Name fehlt im Blatt Team",IF(COUNTIFS($A$6:$A$605,$A374,$B$6:$B$605,"&lt;="&amp;$C374,$C$6:$C$605,"&gt;="&amp;$B374)&gt;1,"Überschneidet sich mit eigenem Wunsch",IF(OR($B374&lt;Einstellungen!$B$3,$C374&gt;Einstellungen!$B$4),"Teils außerhalb des Planungsjahres","ok"))))))</f>
        <v/>
      </c>
      <c r="J374" s="14"/>
    </row>
    <row r="375" customFormat="false" ht="15" hidden="false" customHeight="false" outlineLevel="0" collapsed="false">
      <c r="A375" s="15"/>
      <c r="B375" s="14"/>
      <c r="C375" s="14"/>
      <c r="D375" s="15"/>
      <c r="E375" s="15"/>
      <c r="F375" s="12" t="str">
        <f aca="false">IF($A375="","",IFERROR(INDEX(Team!$B$5:$B$64,MATCH($A375,Team!$A$5:$A$64,0)),"?"))</f>
        <v/>
      </c>
      <c r="G375" s="13" t="str">
        <f aca="false">IF($A375="","",COUNTIF($A$6:$A375,$A375)&amp;". Wunsch")</f>
        <v/>
      </c>
      <c r="H375" s="13" t="str">
        <f aca="false">IF(OR($A375="",$B375="",$C375="",$C375&lt;$B375),"",NETWORKDAYS($B375,$C375,Einstellungen!$N$7:$N$40))</f>
        <v/>
      </c>
      <c r="I375" s="12" t="str">
        <f aca="false">IF($A375="","",IF(OR($B375="",$C375=""),"Von und Bis eintragen",IF($C375&lt;$B375,"Bis liegt vor Von",IF(ISNA(MATCH($A375,Team!$A$5:$A$64,0)),"Name fehlt im Blatt Team",IF(COUNTIFS($A$6:$A$605,$A375,$B$6:$B$605,"&lt;="&amp;$C375,$C$6:$C$605,"&gt;="&amp;$B375)&gt;1,"Überschneidet sich mit eigenem Wunsch",IF(OR($B375&lt;Einstellungen!$B$3,$C375&gt;Einstellungen!$B$4),"Teils außerhalb des Planungsjahres","ok"))))))</f>
        <v/>
      </c>
      <c r="J375" s="14"/>
    </row>
    <row r="376" customFormat="false" ht="15" hidden="false" customHeight="false" outlineLevel="0" collapsed="false">
      <c r="A376" s="15"/>
      <c r="B376" s="14"/>
      <c r="C376" s="14"/>
      <c r="D376" s="15"/>
      <c r="E376" s="15"/>
      <c r="F376" s="12" t="str">
        <f aca="false">IF($A376="","",IFERROR(INDEX(Team!$B$5:$B$64,MATCH($A376,Team!$A$5:$A$64,0)),"?"))</f>
        <v/>
      </c>
      <c r="G376" s="13" t="str">
        <f aca="false">IF($A376="","",COUNTIF($A$6:$A376,$A376)&amp;". Wunsch")</f>
        <v/>
      </c>
      <c r="H376" s="13" t="str">
        <f aca="false">IF(OR($A376="",$B376="",$C376="",$C376&lt;$B376),"",NETWORKDAYS($B376,$C376,Einstellungen!$N$7:$N$40))</f>
        <v/>
      </c>
      <c r="I376" s="12" t="str">
        <f aca="false">IF($A376="","",IF(OR($B376="",$C376=""),"Von und Bis eintragen",IF($C376&lt;$B376,"Bis liegt vor Von",IF(ISNA(MATCH($A376,Team!$A$5:$A$64,0)),"Name fehlt im Blatt Team",IF(COUNTIFS($A$6:$A$605,$A376,$B$6:$B$605,"&lt;="&amp;$C376,$C$6:$C$605,"&gt;="&amp;$B376)&gt;1,"Überschneidet sich mit eigenem Wunsch",IF(OR($B376&lt;Einstellungen!$B$3,$C376&gt;Einstellungen!$B$4),"Teils außerhalb des Planungsjahres","ok"))))))</f>
        <v/>
      </c>
      <c r="J376" s="14"/>
    </row>
    <row r="377" customFormat="false" ht="15" hidden="false" customHeight="false" outlineLevel="0" collapsed="false">
      <c r="A377" s="15"/>
      <c r="B377" s="14"/>
      <c r="C377" s="14"/>
      <c r="D377" s="15"/>
      <c r="E377" s="15"/>
      <c r="F377" s="12" t="str">
        <f aca="false">IF($A377="","",IFERROR(INDEX(Team!$B$5:$B$64,MATCH($A377,Team!$A$5:$A$64,0)),"?"))</f>
        <v/>
      </c>
      <c r="G377" s="13" t="str">
        <f aca="false">IF($A377="","",COUNTIF($A$6:$A377,$A377)&amp;". Wunsch")</f>
        <v/>
      </c>
      <c r="H377" s="13" t="str">
        <f aca="false">IF(OR($A377="",$B377="",$C377="",$C377&lt;$B377),"",NETWORKDAYS($B377,$C377,Einstellungen!$N$7:$N$40))</f>
        <v/>
      </c>
      <c r="I377" s="12" t="str">
        <f aca="false">IF($A377="","",IF(OR($B377="",$C377=""),"Von und Bis eintragen",IF($C377&lt;$B377,"Bis liegt vor Von",IF(ISNA(MATCH($A377,Team!$A$5:$A$64,0)),"Name fehlt im Blatt Team",IF(COUNTIFS($A$6:$A$605,$A377,$B$6:$B$605,"&lt;="&amp;$C377,$C$6:$C$605,"&gt;="&amp;$B377)&gt;1,"Überschneidet sich mit eigenem Wunsch",IF(OR($B377&lt;Einstellungen!$B$3,$C377&gt;Einstellungen!$B$4),"Teils außerhalb des Planungsjahres","ok"))))))</f>
        <v/>
      </c>
      <c r="J377" s="14"/>
    </row>
    <row r="378" customFormat="false" ht="15" hidden="false" customHeight="false" outlineLevel="0" collapsed="false">
      <c r="A378" s="15"/>
      <c r="B378" s="14"/>
      <c r="C378" s="14"/>
      <c r="D378" s="15"/>
      <c r="E378" s="15"/>
      <c r="F378" s="12" t="str">
        <f aca="false">IF($A378="","",IFERROR(INDEX(Team!$B$5:$B$64,MATCH($A378,Team!$A$5:$A$64,0)),"?"))</f>
        <v/>
      </c>
      <c r="G378" s="13" t="str">
        <f aca="false">IF($A378="","",COUNTIF($A$6:$A378,$A378)&amp;". Wunsch")</f>
        <v/>
      </c>
      <c r="H378" s="13" t="str">
        <f aca="false">IF(OR($A378="",$B378="",$C378="",$C378&lt;$B378),"",NETWORKDAYS($B378,$C378,Einstellungen!$N$7:$N$40))</f>
        <v/>
      </c>
      <c r="I378" s="12" t="str">
        <f aca="false">IF($A378="","",IF(OR($B378="",$C378=""),"Von und Bis eintragen",IF($C378&lt;$B378,"Bis liegt vor Von",IF(ISNA(MATCH($A378,Team!$A$5:$A$64,0)),"Name fehlt im Blatt Team",IF(COUNTIFS($A$6:$A$605,$A378,$B$6:$B$605,"&lt;="&amp;$C378,$C$6:$C$605,"&gt;="&amp;$B378)&gt;1,"Überschneidet sich mit eigenem Wunsch",IF(OR($B378&lt;Einstellungen!$B$3,$C378&gt;Einstellungen!$B$4),"Teils außerhalb des Planungsjahres","ok"))))))</f>
        <v/>
      </c>
      <c r="J378" s="14"/>
    </row>
    <row r="379" customFormat="false" ht="15" hidden="false" customHeight="false" outlineLevel="0" collapsed="false">
      <c r="A379" s="15"/>
      <c r="B379" s="14"/>
      <c r="C379" s="14"/>
      <c r="D379" s="15"/>
      <c r="E379" s="15"/>
      <c r="F379" s="12" t="str">
        <f aca="false">IF($A379="","",IFERROR(INDEX(Team!$B$5:$B$64,MATCH($A379,Team!$A$5:$A$64,0)),"?"))</f>
        <v/>
      </c>
      <c r="G379" s="13" t="str">
        <f aca="false">IF($A379="","",COUNTIF($A$6:$A379,$A379)&amp;". Wunsch")</f>
        <v/>
      </c>
      <c r="H379" s="13" t="str">
        <f aca="false">IF(OR($A379="",$B379="",$C379="",$C379&lt;$B379),"",NETWORKDAYS($B379,$C379,Einstellungen!$N$7:$N$40))</f>
        <v/>
      </c>
      <c r="I379" s="12" t="str">
        <f aca="false">IF($A379="","",IF(OR($B379="",$C379=""),"Von und Bis eintragen",IF($C379&lt;$B379,"Bis liegt vor Von",IF(ISNA(MATCH($A379,Team!$A$5:$A$64,0)),"Name fehlt im Blatt Team",IF(COUNTIFS($A$6:$A$605,$A379,$B$6:$B$605,"&lt;="&amp;$C379,$C$6:$C$605,"&gt;="&amp;$B379)&gt;1,"Überschneidet sich mit eigenem Wunsch",IF(OR($B379&lt;Einstellungen!$B$3,$C379&gt;Einstellungen!$B$4),"Teils außerhalb des Planungsjahres","ok"))))))</f>
        <v/>
      </c>
      <c r="J379" s="14"/>
    </row>
    <row r="380" customFormat="false" ht="15" hidden="false" customHeight="false" outlineLevel="0" collapsed="false">
      <c r="A380" s="15"/>
      <c r="B380" s="14"/>
      <c r="C380" s="14"/>
      <c r="D380" s="15"/>
      <c r="E380" s="15"/>
      <c r="F380" s="12" t="str">
        <f aca="false">IF($A380="","",IFERROR(INDEX(Team!$B$5:$B$64,MATCH($A380,Team!$A$5:$A$64,0)),"?"))</f>
        <v/>
      </c>
      <c r="G380" s="13" t="str">
        <f aca="false">IF($A380="","",COUNTIF($A$6:$A380,$A380)&amp;". Wunsch")</f>
        <v/>
      </c>
      <c r="H380" s="13" t="str">
        <f aca="false">IF(OR($A380="",$B380="",$C380="",$C380&lt;$B380),"",NETWORKDAYS($B380,$C380,Einstellungen!$N$7:$N$40))</f>
        <v/>
      </c>
      <c r="I380" s="12" t="str">
        <f aca="false">IF($A380="","",IF(OR($B380="",$C380=""),"Von und Bis eintragen",IF($C380&lt;$B380,"Bis liegt vor Von",IF(ISNA(MATCH($A380,Team!$A$5:$A$64,0)),"Name fehlt im Blatt Team",IF(COUNTIFS($A$6:$A$605,$A380,$B$6:$B$605,"&lt;="&amp;$C380,$C$6:$C$605,"&gt;="&amp;$B380)&gt;1,"Überschneidet sich mit eigenem Wunsch",IF(OR($B380&lt;Einstellungen!$B$3,$C380&gt;Einstellungen!$B$4),"Teils außerhalb des Planungsjahres","ok"))))))</f>
        <v/>
      </c>
      <c r="J380" s="14"/>
    </row>
    <row r="381" customFormat="false" ht="15" hidden="false" customHeight="false" outlineLevel="0" collapsed="false">
      <c r="A381" s="15"/>
      <c r="B381" s="14"/>
      <c r="C381" s="14"/>
      <c r="D381" s="15"/>
      <c r="E381" s="15"/>
      <c r="F381" s="12" t="str">
        <f aca="false">IF($A381="","",IFERROR(INDEX(Team!$B$5:$B$64,MATCH($A381,Team!$A$5:$A$64,0)),"?"))</f>
        <v/>
      </c>
      <c r="G381" s="13" t="str">
        <f aca="false">IF($A381="","",COUNTIF($A$6:$A381,$A381)&amp;". Wunsch")</f>
        <v/>
      </c>
      <c r="H381" s="13" t="str">
        <f aca="false">IF(OR($A381="",$B381="",$C381="",$C381&lt;$B381),"",NETWORKDAYS($B381,$C381,Einstellungen!$N$7:$N$40))</f>
        <v/>
      </c>
      <c r="I381" s="12" t="str">
        <f aca="false">IF($A381="","",IF(OR($B381="",$C381=""),"Von und Bis eintragen",IF($C381&lt;$B381,"Bis liegt vor Von",IF(ISNA(MATCH($A381,Team!$A$5:$A$64,0)),"Name fehlt im Blatt Team",IF(COUNTIFS($A$6:$A$605,$A381,$B$6:$B$605,"&lt;="&amp;$C381,$C$6:$C$605,"&gt;="&amp;$B381)&gt;1,"Überschneidet sich mit eigenem Wunsch",IF(OR($B381&lt;Einstellungen!$B$3,$C381&gt;Einstellungen!$B$4),"Teils außerhalb des Planungsjahres","ok"))))))</f>
        <v/>
      </c>
      <c r="J381" s="14"/>
    </row>
    <row r="382" customFormat="false" ht="15" hidden="false" customHeight="false" outlineLevel="0" collapsed="false">
      <c r="A382" s="15"/>
      <c r="B382" s="14"/>
      <c r="C382" s="14"/>
      <c r="D382" s="15"/>
      <c r="E382" s="15"/>
      <c r="F382" s="12" t="str">
        <f aca="false">IF($A382="","",IFERROR(INDEX(Team!$B$5:$B$64,MATCH($A382,Team!$A$5:$A$64,0)),"?"))</f>
        <v/>
      </c>
      <c r="G382" s="13" t="str">
        <f aca="false">IF($A382="","",COUNTIF($A$6:$A382,$A382)&amp;". Wunsch")</f>
        <v/>
      </c>
      <c r="H382" s="13" t="str">
        <f aca="false">IF(OR($A382="",$B382="",$C382="",$C382&lt;$B382),"",NETWORKDAYS($B382,$C382,Einstellungen!$N$7:$N$40))</f>
        <v/>
      </c>
      <c r="I382" s="12" t="str">
        <f aca="false">IF($A382="","",IF(OR($B382="",$C382=""),"Von und Bis eintragen",IF($C382&lt;$B382,"Bis liegt vor Von",IF(ISNA(MATCH($A382,Team!$A$5:$A$64,0)),"Name fehlt im Blatt Team",IF(COUNTIFS($A$6:$A$605,$A382,$B$6:$B$605,"&lt;="&amp;$C382,$C$6:$C$605,"&gt;="&amp;$B382)&gt;1,"Überschneidet sich mit eigenem Wunsch",IF(OR($B382&lt;Einstellungen!$B$3,$C382&gt;Einstellungen!$B$4),"Teils außerhalb des Planungsjahres","ok"))))))</f>
        <v/>
      </c>
      <c r="J382" s="14"/>
    </row>
    <row r="383" customFormat="false" ht="15" hidden="false" customHeight="false" outlineLevel="0" collapsed="false">
      <c r="A383" s="15"/>
      <c r="B383" s="14"/>
      <c r="C383" s="14"/>
      <c r="D383" s="15"/>
      <c r="E383" s="15"/>
      <c r="F383" s="12" t="str">
        <f aca="false">IF($A383="","",IFERROR(INDEX(Team!$B$5:$B$64,MATCH($A383,Team!$A$5:$A$64,0)),"?"))</f>
        <v/>
      </c>
      <c r="G383" s="13" t="str">
        <f aca="false">IF($A383="","",COUNTIF($A$6:$A383,$A383)&amp;". Wunsch")</f>
        <v/>
      </c>
      <c r="H383" s="13" t="str">
        <f aca="false">IF(OR($A383="",$B383="",$C383="",$C383&lt;$B383),"",NETWORKDAYS($B383,$C383,Einstellungen!$N$7:$N$40))</f>
        <v/>
      </c>
      <c r="I383" s="12" t="str">
        <f aca="false">IF($A383="","",IF(OR($B383="",$C383=""),"Von und Bis eintragen",IF($C383&lt;$B383,"Bis liegt vor Von",IF(ISNA(MATCH($A383,Team!$A$5:$A$64,0)),"Name fehlt im Blatt Team",IF(COUNTIFS($A$6:$A$605,$A383,$B$6:$B$605,"&lt;="&amp;$C383,$C$6:$C$605,"&gt;="&amp;$B383)&gt;1,"Überschneidet sich mit eigenem Wunsch",IF(OR($B383&lt;Einstellungen!$B$3,$C383&gt;Einstellungen!$B$4),"Teils außerhalb des Planungsjahres","ok"))))))</f>
        <v/>
      </c>
      <c r="J383" s="14"/>
    </row>
    <row r="384" customFormat="false" ht="15" hidden="false" customHeight="false" outlineLevel="0" collapsed="false">
      <c r="A384" s="15"/>
      <c r="B384" s="14"/>
      <c r="C384" s="14"/>
      <c r="D384" s="15"/>
      <c r="E384" s="15"/>
      <c r="F384" s="12" t="str">
        <f aca="false">IF($A384="","",IFERROR(INDEX(Team!$B$5:$B$64,MATCH($A384,Team!$A$5:$A$64,0)),"?"))</f>
        <v/>
      </c>
      <c r="G384" s="13" t="str">
        <f aca="false">IF($A384="","",COUNTIF($A$6:$A384,$A384)&amp;". Wunsch")</f>
        <v/>
      </c>
      <c r="H384" s="13" t="str">
        <f aca="false">IF(OR($A384="",$B384="",$C384="",$C384&lt;$B384),"",NETWORKDAYS($B384,$C384,Einstellungen!$N$7:$N$40))</f>
        <v/>
      </c>
      <c r="I384" s="12" t="str">
        <f aca="false">IF($A384="","",IF(OR($B384="",$C384=""),"Von und Bis eintragen",IF($C384&lt;$B384,"Bis liegt vor Von",IF(ISNA(MATCH($A384,Team!$A$5:$A$64,0)),"Name fehlt im Blatt Team",IF(COUNTIFS($A$6:$A$605,$A384,$B$6:$B$605,"&lt;="&amp;$C384,$C$6:$C$605,"&gt;="&amp;$B384)&gt;1,"Überschneidet sich mit eigenem Wunsch",IF(OR($B384&lt;Einstellungen!$B$3,$C384&gt;Einstellungen!$B$4),"Teils außerhalb des Planungsjahres","ok"))))))</f>
        <v/>
      </c>
      <c r="J384" s="14"/>
    </row>
    <row r="385" customFormat="false" ht="15" hidden="false" customHeight="false" outlineLevel="0" collapsed="false">
      <c r="A385" s="15"/>
      <c r="B385" s="14"/>
      <c r="C385" s="14"/>
      <c r="D385" s="15"/>
      <c r="E385" s="15"/>
      <c r="F385" s="12" t="str">
        <f aca="false">IF($A385="","",IFERROR(INDEX(Team!$B$5:$B$64,MATCH($A385,Team!$A$5:$A$64,0)),"?"))</f>
        <v/>
      </c>
      <c r="G385" s="13" t="str">
        <f aca="false">IF($A385="","",COUNTIF($A$6:$A385,$A385)&amp;". Wunsch")</f>
        <v/>
      </c>
      <c r="H385" s="13" t="str">
        <f aca="false">IF(OR($A385="",$B385="",$C385="",$C385&lt;$B385),"",NETWORKDAYS($B385,$C385,Einstellungen!$N$7:$N$40))</f>
        <v/>
      </c>
      <c r="I385" s="12" t="str">
        <f aca="false">IF($A385="","",IF(OR($B385="",$C385=""),"Von und Bis eintragen",IF($C385&lt;$B385,"Bis liegt vor Von",IF(ISNA(MATCH($A385,Team!$A$5:$A$64,0)),"Name fehlt im Blatt Team",IF(COUNTIFS($A$6:$A$605,$A385,$B$6:$B$605,"&lt;="&amp;$C385,$C$6:$C$605,"&gt;="&amp;$B385)&gt;1,"Überschneidet sich mit eigenem Wunsch",IF(OR($B385&lt;Einstellungen!$B$3,$C385&gt;Einstellungen!$B$4),"Teils außerhalb des Planungsjahres","ok"))))))</f>
        <v/>
      </c>
      <c r="J385" s="14"/>
    </row>
    <row r="386" customFormat="false" ht="15" hidden="false" customHeight="false" outlineLevel="0" collapsed="false">
      <c r="A386" s="15"/>
      <c r="B386" s="14"/>
      <c r="C386" s="14"/>
      <c r="D386" s="15"/>
      <c r="E386" s="15"/>
      <c r="F386" s="12" t="str">
        <f aca="false">IF($A386="","",IFERROR(INDEX(Team!$B$5:$B$64,MATCH($A386,Team!$A$5:$A$64,0)),"?"))</f>
        <v/>
      </c>
      <c r="G386" s="13" t="str">
        <f aca="false">IF($A386="","",COUNTIF($A$6:$A386,$A386)&amp;". Wunsch")</f>
        <v/>
      </c>
      <c r="H386" s="13" t="str">
        <f aca="false">IF(OR($A386="",$B386="",$C386="",$C386&lt;$B386),"",NETWORKDAYS($B386,$C386,Einstellungen!$N$7:$N$40))</f>
        <v/>
      </c>
      <c r="I386" s="12" t="str">
        <f aca="false">IF($A386="","",IF(OR($B386="",$C386=""),"Von und Bis eintragen",IF($C386&lt;$B386,"Bis liegt vor Von",IF(ISNA(MATCH($A386,Team!$A$5:$A$64,0)),"Name fehlt im Blatt Team",IF(COUNTIFS($A$6:$A$605,$A386,$B$6:$B$605,"&lt;="&amp;$C386,$C$6:$C$605,"&gt;="&amp;$B386)&gt;1,"Überschneidet sich mit eigenem Wunsch",IF(OR($B386&lt;Einstellungen!$B$3,$C386&gt;Einstellungen!$B$4),"Teils außerhalb des Planungsjahres","ok"))))))</f>
        <v/>
      </c>
      <c r="J386" s="14"/>
    </row>
    <row r="387" customFormat="false" ht="15" hidden="false" customHeight="false" outlineLevel="0" collapsed="false">
      <c r="A387" s="15"/>
      <c r="B387" s="14"/>
      <c r="C387" s="14"/>
      <c r="D387" s="15"/>
      <c r="E387" s="15"/>
      <c r="F387" s="12" t="str">
        <f aca="false">IF($A387="","",IFERROR(INDEX(Team!$B$5:$B$64,MATCH($A387,Team!$A$5:$A$64,0)),"?"))</f>
        <v/>
      </c>
      <c r="G387" s="13" t="str">
        <f aca="false">IF($A387="","",COUNTIF($A$6:$A387,$A387)&amp;". Wunsch")</f>
        <v/>
      </c>
      <c r="H387" s="13" t="str">
        <f aca="false">IF(OR($A387="",$B387="",$C387="",$C387&lt;$B387),"",NETWORKDAYS($B387,$C387,Einstellungen!$N$7:$N$40))</f>
        <v/>
      </c>
      <c r="I387" s="12" t="str">
        <f aca="false">IF($A387="","",IF(OR($B387="",$C387=""),"Von und Bis eintragen",IF($C387&lt;$B387,"Bis liegt vor Von",IF(ISNA(MATCH($A387,Team!$A$5:$A$64,0)),"Name fehlt im Blatt Team",IF(COUNTIFS($A$6:$A$605,$A387,$B$6:$B$605,"&lt;="&amp;$C387,$C$6:$C$605,"&gt;="&amp;$B387)&gt;1,"Überschneidet sich mit eigenem Wunsch",IF(OR($B387&lt;Einstellungen!$B$3,$C387&gt;Einstellungen!$B$4),"Teils außerhalb des Planungsjahres","ok"))))))</f>
        <v/>
      </c>
      <c r="J387" s="14"/>
    </row>
    <row r="388" customFormat="false" ht="15" hidden="false" customHeight="false" outlineLevel="0" collapsed="false">
      <c r="A388" s="15"/>
      <c r="B388" s="14"/>
      <c r="C388" s="14"/>
      <c r="D388" s="15"/>
      <c r="E388" s="15"/>
      <c r="F388" s="12" t="str">
        <f aca="false">IF($A388="","",IFERROR(INDEX(Team!$B$5:$B$64,MATCH($A388,Team!$A$5:$A$64,0)),"?"))</f>
        <v/>
      </c>
      <c r="G388" s="13" t="str">
        <f aca="false">IF($A388="","",COUNTIF($A$6:$A388,$A388)&amp;". Wunsch")</f>
        <v/>
      </c>
      <c r="H388" s="13" t="str">
        <f aca="false">IF(OR($A388="",$B388="",$C388="",$C388&lt;$B388),"",NETWORKDAYS($B388,$C388,Einstellungen!$N$7:$N$40))</f>
        <v/>
      </c>
      <c r="I388" s="12" t="str">
        <f aca="false">IF($A388="","",IF(OR($B388="",$C388=""),"Von und Bis eintragen",IF($C388&lt;$B388,"Bis liegt vor Von",IF(ISNA(MATCH($A388,Team!$A$5:$A$64,0)),"Name fehlt im Blatt Team",IF(COUNTIFS($A$6:$A$605,$A388,$B$6:$B$605,"&lt;="&amp;$C388,$C$6:$C$605,"&gt;="&amp;$B388)&gt;1,"Überschneidet sich mit eigenem Wunsch",IF(OR($B388&lt;Einstellungen!$B$3,$C388&gt;Einstellungen!$B$4),"Teils außerhalb des Planungsjahres","ok"))))))</f>
        <v/>
      </c>
      <c r="J388" s="14"/>
    </row>
    <row r="389" customFormat="false" ht="15" hidden="false" customHeight="false" outlineLevel="0" collapsed="false">
      <c r="A389" s="15"/>
      <c r="B389" s="14"/>
      <c r="C389" s="14"/>
      <c r="D389" s="15"/>
      <c r="E389" s="15"/>
      <c r="F389" s="12" t="str">
        <f aca="false">IF($A389="","",IFERROR(INDEX(Team!$B$5:$B$64,MATCH($A389,Team!$A$5:$A$64,0)),"?"))</f>
        <v/>
      </c>
      <c r="G389" s="13" t="str">
        <f aca="false">IF($A389="","",COUNTIF($A$6:$A389,$A389)&amp;". Wunsch")</f>
        <v/>
      </c>
      <c r="H389" s="13" t="str">
        <f aca="false">IF(OR($A389="",$B389="",$C389="",$C389&lt;$B389),"",NETWORKDAYS($B389,$C389,Einstellungen!$N$7:$N$40))</f>
        <v/>
      </c>
      <c r="I389" s="12" t="str">
        <f aca="false">IF($A389="","",IF(OR($B389="",$C389=""),"Von und Bis eintragen",IF($C389&lt;$B389,"Bis liegt vor Von",IF(ISNA(MATCH($A389,Team!$A$5:$A$64,0)),"Name fehlt im Blatt Team",IF(COUNTIFS($A$6:$A$605,$A389,$B$6:$B$605,"&lt;="&amp;$C389,$C$6:$C$605,"&gt;="&amp;$B389)&gt;1,"Überschneidet sich mit eigenem Wunsch",IF(OR($B389&lt;Einstellungen!$B$3,$C389&gt;Einstellungen!$B$4),"Teils außerhalb des Planungsjahres","ok"))))))</f>
        <v/>
      </c>
      <c r="J389" s="14"/>
    </row>
    <row r="390" customFormat="false" ht="15" hidden="false" customHeight="false" outlineLevel="0" collapsed="false">
      <c r="A390" s="15"/>
      <c r="B390" s="14"/>
      <c r="C390" s="14"/>
      <c r="D390" s="15"/>
      <c r="E390" s="15"/>
      <c r="F390" s="12" t="str">
        <f aca="false">IF($A390="","",IFERROR(INDEX(Team!$B$5:$B$64,MATCH($A390,Team!$A$5:$A$64,0)),"?"))</f>
        <v/>
      </c>
      <c r="G390" s="13" t="str">
        <f aca="false">IF($A390="","",COUNTIF($A$6:$A390,$A390)&amp;". Wunsch")</f>
        <v/>
      </c>
      <c r="H390" s="13" t="str">
        <f aca="false">IF(OR($A390="",$B390="",$C390="",$C390&lt;$B390),"",NETWORKDAYS($B390,$C390,Einstellungen!$N$7:$N$40))</f>
        <v/>
      </c>
      <c r="I390" s="12" t="str">
        <f aca="false">IF($A390="","",IF(OR($B390="",$C390=""),"Von und Bis eintragen",IF($C390&lt;$B390,"Bis liegt vor Von",IF(ISNA(MATCH($A390,Team!$A$5:$A$64,0)),"Name fehlt im Blatt Team",IF(COUNTIFS($A$6:$A$605,$A390,$B$6:$B$605,"&lt;="&amp;$C390,$C$6:$C$605,"&gt;="&amp;$B390)&gt;1,"Überschneidet sich mit eigenem Wunsch",IF(OR($B390&lt;Einstellungen!$B$3,$C390&gt;Einstellungen!$B$4),"Teils außerhalb des Planungsjahres","ok"))))))</f>
        <v/>
      </c>
      <c r="J390" s="14"/>
    </row>
    <row r="391" customFormat="false" ht="15" hidden="false" customHeight="false" outlineLevel="0" collapsed="false">
      <c r="A391" s="15"/>
      <c r="B391" s="14"/>
      <c r="C391" s="14"/>
      <c r="D391" s="15"/>
      <c r="E391" s="15"/>
      <c r="F391" s="12" t="str">
        <f aca="false">IF($A391="","",IFERROR(INDEX(Team!$B$5:$B$64,MATCH($A391,Team!$A$5:$A$64,0)),"?"))</f>
        <v/>
      </c>
      <c r="G391" s="13" t="str">
        <f aca="false">IF($A391="","",COUNTIF($A$6:$A391,$A391)&amp;". Wunsch")</f>
        <v/>
      </c>
      <c r="H391" s="13" t="str">
        <f aca="false">IF(OR($A391="",$B391="",$C391="",$C391&lt;$B391),"",NETWORKDAYS($B391,$C391,Einstellungen!$N$7:$N$40))</f>
        <v/>
      </c>
      <c r="I391" s="12" t="str">
        <f aca="false">IF($A391="","",IF(OR($B391="",$C391=""),"Von und Bis eintragen",IF($C391&lt;$B391,"Bis liegt vor Von",IF(ISNA(MATCH($A391,Team!$A$5:$A$64,0)),"Name fehlt im Blatt Team",IF(COUNTIFS($A$6:$A$605,$A391,$B$6:$B$605,"&lt;="&amp;$C391,$C$6:$C$605,"&gt;="&amp;$B391)&gt;1,"Überschneidet sich mit eigenem Wunsch",IF(OR($B391&lt;Einstellungen!$B$3,$C391&gt;Einstellungen!$B$4),"Teils außerhalb des Planungsjahres","ok"))))))</f>
        <v/>
      </c>
      <c r="J391" s="14"/>
    </row>
    <row r="392" customFormat="false" ht="15" hidden="false" customHeight="false" outlineLevel="0" collapsed="false">
      <c r="A392" s="15"/>
      <c r="B392" s="14"/>
      <c r="C392" s="14"/>
      <c r="D392" s="15"/>
      <c r="E392" s="15"/>
      <c r="F392" s="12" t="str">
        <f aca="false">IF($A392="","",IFERROR(INDEX(Team!$B$5:$B$64,MATCH($A392,Team!$A$5:$A$64,0)),"?"))</f>
        <v/>
      </c>
      <c r="G392" s="13" t="str">
        <f aca="false">IF($A392="","",COUNTIF($A$6:$A392,$A392)&amp;". Wunsch")</f>
        <v/>
      </c>
      <c r="H392" s="13" t="str">
        <f aca="false">IF(OR($A392="",$B392="",$C392="",$C392&lt;$B392),"",NETWORKDAYS($B392,$C392,Einstellungen!$N$7:$N$40))</f>
        <v/>
      </c>
      <c r="I392" s="12" t="str">
        <f aca="false">IF($A392="","",IF(OR($B392="",$C392=""),"Von und Bis eintragen",IF($C392&lt;$B392,"Bis liegt vor Von",IF(ISNA(MATCH($A392,Team!$A$5:$A$64,0)),"Name fehlt im Blatt Team",IF(COUNTIFS($A$6:$A$605,$A392,$B$6:$B$605,"&lt;="&amp;$C392,$C$6:$C$605,"&gt;="&amp;$B392)&gt;1,"Überschneidet sich mit eigenem Wunsch",IF(OR($B392&lt;Einstellungen!$B$3,$C392&gt;Einstellungen!$B$4),"Teils außerhalb des Planungsjahres","ok"))))))</f>
        <v/>
      </c>
      <c r="J392" s="14"/>
    </row>
    <row r="393" customFormat="false" ht="15" hidden="false" customHeight="false" outlineLevel="0" collapsed="false">
      <c r="A393" s="15"/>
      <c r="B393" s="14"/>
      <c r="C393" s="14"/>
      <c r="D393" s="15"/>
      <c r="E393" s="15"/>
      <c r="F393" s="12" t="str">
        <f aca="false">IF($A393="","",IFERROR(INDEX(Team!$B$5:$B$64,MATCH($A393,Team!$A$5:$A$64,0)),"?"))</f>
        <v/>
      </c>
      <c r="G393" s="13" t="str">
        <f aca="false">IF($A393="","",COUNTIF($A$6:$A393,$A393)&amp;". Wunsch")</f>
        <v/>
      </c>
      <c r="H393" s="13" t="str">
        <f aca="false">IF(OR($A393="",$B393="",$C393="",$C393&lt;$B393),"",NETWORKDAYS($B393,$C393,Einstellungen!$N$7:$N$40))</f>
        <v/>
      </c>
      <c r="I393" s="12" t="str">
        <f aca="false">IF($A393="","",IF(OR($B393="",$C393=""),"Von und Bis eintragen",IF($C393&lt;$B393,"Bis liegt vor Von",IF(ISNA(MATCH($A393,Team!$A$5:$A$64,0)),"Name fehlt im Blatt Team",IF(COUNTIFS($A$6:$A$605,$A393,$B$6:$B$605,"&lt;="&amp;$C393,$C$6:$C$605,"&gt;="&amp;$B393)&gt;1,"Überschneidet sich mit eigenem Wunsch",IF(OR($B393&lt;Einstellungen!$B$3,$C393&gt;Einstellungen!$B$4),"Teils außerhalb des Planungsjahres","ok"))))))</f>
        <v/>
      </c>
      <c r="J393" s="14"/>
    </row>
    <row r="394" customFormat="false" ht="15" hidden="false" customHeight="false" outlineLevel="0" collapsed="false">
      <c r="A394" s="15"/>
      <c r="B394" s="14"/>
      <c r="C394" s="14"/>
      <c r="D394" s="15"/>
      <c r="E394" s="15"/>
      <c r="F394" s="12" t="str">
        <f aca="false">IF($A394="","",IFERROR(INDEX(Team!$B$5:$B$64,MATCH($A394,Team!$A$5:$A$64,0)),"?"))</f>
        <v/>
      </c>
      <c r="G394" s="13" t="str">
        <f aca="false">IF($A394="","",COUNTIF($A$6:$A394,$A394)&amp;". Wunsch")</f>
        <v/>
      </c>
      <c r="H394" s="13" t="str">
        <f aca="false">IF(OR($A394="",$B394="",$C394="",$C394&lt;$B394),"",NETWORKDAYS($B394,$C394,Einstellungen!$N$7:$N$40))</f>
        <v/>
      </c>
      <c r="I394" s="12" t="str">
        <f aca="false">IF($A394="","",IF(OR($B394="",$C394=""),"Von und Bis eintragen",IF($C394&lt;$B394,"Bis liegt vor Von",IF(ISNA(MATCH($A394,Team!$A$5:$A$64,0)),"Name fehlt im Blatt Team",IF(COUNTIFS($A$6:$A$605,$A394,$B$6:$B$605,"&lt;="&amp;$C394,$C$6:$C$605,"&gt;="&amp;$B394)&gt;1,"Überschneidet sich mit eigenem Wunsch",IF(OR($B394&lt;Einstellungen!$B$3,$C394&gt;Einstellungen!$B$4),"Teils außerhalb des Planungsjahres","ok"))))))</f>
        <v/>
      </c>
      <c r="J394" s="14"/>
    </row>
    <row r="395" customFormat="false" ht="15" hidden="false" customHeight="false" outlineLevel="0" collapsed="false">
      <c r="A395" s="15"/>
      <c r="B395" s="14"/>
      <c r="C395" s="14"/>
      <c r="D395" s="15"/>
      <c r="E395" s="15"/>
      <c r="F395" s="12" t="str">
        <f aca="false">IF($A395="","",IFERROR(INDEX(Team!$B$5:$B$64,MATCH($A395,Team!$A$5:$A$64,0)),"?"))</f>
        <v/>
      </c>
      <c r="G395" s="13" t="str">
        <f aca="false">IF($A395="","",COUNTIF($A$6:$A395,$A395)&amp;". Wunsch")</f>
        <v/>
      </c>
      <c r="H395" s="13" t="str">
        <f aca="false">IF(OR($A395="",$B395="",$C395="",$C395&lt;$B395),"",NETWORKDAYS($B395,$C395,Einstellungen!$N$7:$N$40))</f>
        <v/>
      </c>
      <c r="I395" s="12" t="str">
        <f aca="false">IF($A395="","",IF(OR($B395="",$C395=""),"Von und Bis eintragen",IF($C395&lt;$B395,"Bis liegt vor Von",IF(ISNA(MATCH($A395,Team!$A$5:$A$64,0)),"Name fehlt im Blatt Team",IF(COUNTIFS($A$6:$A$605,$A395,$B$6:$B$605,"&lt;="&amp;$C395,$C$6:$C$605,"&gt;="&amp;$B395)&gt;1,"Überschneidet sich mit eigenem Wunsch",IF(OR($B395&lt;Einstellungen!$B$3,$C395&gt;Einstellungen!$B$4),"Teils außerhalb des Planungsjahres","ok"))))))</f>
        <v/>
      </c>
      <c r="J395" s="14"/>
    </row>
    <row r="396" customFormat="false" ht="15" hidden="false" customHeight="false" outlineLevel="0" collapsed="false">
      <c r="A396" s="15"/>
      <c r="B396" s="14"/>
      <c r="C396" s="14"/>
      <c r="D396" s="15"/>
      <c r="E396" s="15"/>
      <c r="F396" s="12" t="str">
        <f aca="false">IF($A396="","",IFERROR(INDEX(Team!$B$5:$B$64,MATCH($A396,Team!$A$5:$A$64,0)),"?"))</f>
        <v/>
      </c>
      <c r="G396" s="13" t="str">
        <f aca="false">IF($A396="","",COUNTIF($A$6:$A396,$A396)&amp;". Wunsch")</f>
        <v/>
      </c>
      <c r="H396" s="13" t="str">
        <f aca="false">IF(OR($A396="",$B396="",$C396="",$C396&lt;$B396),"",NETWORKDAYS($B396,$C396,Einstellungen!$N$7:$N$40))</f>
        <v/>
      </c>
      <c r="I396" s="12" t="str">
        <f aca="false">IF($A396="","",IF(OR($B396="",$C396=""),"Von und Bis eintragen",IF($C396&lt;$B396,"Bis liegt vor Von",IF(ISNA(MATCH($A396,Team!$A$5:$A$64,0)),"Name fehlt im Blatt Team",IF(COUNTIFS($A$6:$A$605,$A396,$B$6:$B$605,"&lt;="&amp;$C396,$C$6:$C$605,"&gt;="&amp;$B396)&gt;1,"Überschneidet sich mit eigenem Wunsch",IF(OR($B396&lt;Einstellungen!$B$3,$C396&gt;Einstellungen!$B$4),"Teils außerhalb des Planungsjahres","ok"))))))</f>
        <v/>
      </c>
      <c r="J396" s="14"/>
    </row>
    <row r="397" customFormat="false" ht="15" hidden="false" customHeight="false" outlineLevel="0" collapsed="false">
      <c r="A397" s="15"/>
      <c r="B397" s="14"/>
      <c r="C397" s="14"/>
      <c r="D397" s="15"/>
      <c r="E397" s="15"/>
      <c r="F397" s="12" t="str">
        <f aca="false">IF($A397="","",IFERROR(INDEX(Team!$B$5:$B$64,MATCH($A397,Team!$A$5:$A$64,0)),"?"))</f>
        <v/>
      </c>
      <c r="G397" s="13" t="str">
        <f aca="false">IF($A397="","",COUNTIF($A$6:$A397,$A397)&amp;". Wunsch")</f>
        <v/>
      </c>
      <c r="H397" s="13" t="str">
        <f aca="false">IF(OR($A397="",$B397="",$C397="",$C397&lt;$B397),"",NETWORKDAYS($B397,$C397,Einstellungen!$N$7:$N$40))</f>
        <v/>
      </c>
      <c r="I397" s="12" t="str">
        <f aca="false">IF($A397="","",IF(OR($B397="",$C397=""),"Von und Bis eintragen",IF($C397&lt;$B397,"Bis liegt vor Von",IF(ISNA(MATCH($A397,Team!$A$5:$A$64,0)),"Name fehlt im Blatt Team",IF(COUNTIFS($A$6:$A$605,$A397,$B$6:$B$605,"&lt;="&amp;$C397,$C$6:$C$605,"&gt;="&amp;$B397)&gt;1,"Überschneidet sich mit eigenem Wunsch",IF(OR($B397&lt;Einstellungen!$B$3,$C397&gt;Einstellungen!$B$4),"Teils außerhalb des Planungsjahres","ok"))))))</f>
        <v/>
      </c>
      <c r="J397" s="14"/>
    </row>
    <row r="398" customFormat="false" ht="15" hidden="false" customHeight="false" outlineLevel="0" collapsed="false">
      <c r="A398" s="15"/>
      <c r="B398" s="14"/>
      <c r="C398" s="14"/>
      <c r="D398" s="15"/>
      <c r="E398" s="15"/>
      <c r="F398" s="12" t="str">
        <f aca="false">IF($A398="","",IFERROR(INDEX(Team!$B$5:$B$64,MATCH($A398,Team!$A$5:$A$64,0)),"?"))</f>
        <v/>
      </c>
      <c r="G398" s="13" t="str">
        <f aca="false">IF($A398="","",COUNTIF($A$6:$A398,$A398)&amp;". Wunsch")</f>
        <v/>
      </c>
      <c r="H398" s="13" t="str">
        <f aca="false">IF(OR($A398="",$B398="",$C398="",$C398&lt;$B398),"",NETWORKDAYS($B398,$C398,Einstellungen!$N$7:$N$40))</f>
        <v/>
      </c>
      <c r="I398" s="12" t="str">
        <f aca="false">IF($A398="","",IF(OR($B398="",$C398=""),"Von und Bis eintragen",IF($C398&lt;$B398,"Bis liegt vor Von",IF(ISNA(MATCH($A398,Team!$A$5:$A$64,0)),"Name fehlt im Blatt Team",IF(COUNTIFS($A$6:$A$605,$A398,$B$6:$B$605,"&lt;="&amp;$C398,$C$6:$C$605,"&gt;="&amp;$B398)&gt;1,"Überschneidet sich mit eigenem Wunsch",IF(OR($B398&lt;Einstellungen!$B$3,$C398&gt;Einstellungen!$B$4),"Teils außerhalb des Planungsjahres","ok"))))))</f>
        <v/>
      </c>
      <c r="J398" s="14"/>
    </row>
    <row r="399" customFormat="false" ht="15" hidden="false" customHeight="false" outlineLevel="0" collapsed="false">
      <c r="A399" s="15"/>
      <c r="B399" s="14"/>
      <c r="C399" s="14"/>
      <c r="D399" s="15"/>
      <c r="E399" s="15"/>
      <c r="F399" s="12" t="str">
        <f aca="false">IF($A399="","",IFERROR(INDEX(Team!$B$5:$B$64,MATCH($A399,Team!$A$5:$A$64,0)),"?"))</f>
        <v/>
      </c>
      <c r="G399" s="13" t="str">
        <f aca="false">IF($A399="","",COUNTIF($A$6:$A399,$A399)&amp;". Wunsch")</f>
        <v/>
      </c>
      <c r="H399" s="13" t="str">
        <f aca="false">IF(OR($A399="",$B399="",$C399="",$C399&lt;$B399),"",NETWORKDAYS($B399,$C399,Einstellungen!$N$7:$N$40))</f>
        <v/>
      </c>
      <c r="I399" s="12" t="str">
        <f aca="false">IF($A399="","",IF(OR($B399="",$C399=""),"Von und Bis eintragen",IF($C399&lt;$B399,"Bis liegt vor Von",IF(ISNA(MATCH($A399,Team!$A$5:$A$64,0)),"Name fehlt im Blatt Team",IF(COUNTIFS($A$6:$A$605,$A399,$B$6:$B$605,"&lt;="&amp;$C399,$C$6:$C$605,"&gt;="&amp;$B399)&gt;1,"Überschneidet sich mit eigenem Wunsch",IF(OR($B399&lt;Einstellungen!$B$3,$C399&gt;Einstellungen!$B$4),"Teils außerhalb des Planungsjahres","ok"))))))</f>
        <v/>
      </c>
      <c r="J399" s="14"/>
    </row>
    <row r="400" customFormat="false" ht="15" hidden="false" customHeight="false" outlineLevel="0" collapsed="false">
      <c r="A400" s="15"/>
      <c r="B400" s="14"/>
      <c r="C400" s="14"/>
      <c r="D400" s="15"/>
      <c r="E400" s="15"/>
      <c r="F400" s="12" t="str">
        <f aca="false">IF($A400="","",IFERROR(INDEX(Team!$B$5:$B$64,MATCH($A400,Team!$A$5:$A$64,0)),"?"))</f>
        <v/>
      </c>
      <c r="G400" s="13" t="str">
        <f aca="false">IF($A400="","",COUNTIF($A$6:$A400,$A400)&amp;". Wunsch")</f>
        <v/>
      </c>
      <c r="H400" s="13" t="str">
        <f aca="false">IF(OR($A400="",$B400="",$C400="",$C400&lt;$B400),"",NETWORKDAYS($B400,$C400,Einstellungen!$N$7:$N$40))</f>
        <v/>
      </c>
      <c r="I400" s="12" t="str">
        <f aca="false">IF($A400="","",IF(OR($B400="",$C400=""),"Von und Bis eintragen",IF($C400&lt;$B400,"Bis liegt vor Von",IF(ISNA(MATCH($A400,Team!$A$5:$A$64,0)),"Name fehlt im Blatt Team",IF(COUNTIFS($A$6:$A$605,$A400,$B$6:$B$605,"&lt;="&amp;$C400,$C$6:$C$605,"&gt;="&amp;$B400)&gt;1,"Überschneidet sich mit eigenem Wunsch",IF(OR($B400&lt;Einstellungen!$B$3,$C400&gt;Einstellungen!$B$4),"Teils außerhalb des Planungsjahres","ok"))))))</f>
        <v/>
      </c>
      <c r="J400" s="14"/>
    </row>
    <row r="401" customFormat="false" ht="15" hidden="false" customHeight="false" outlineLevel="0" collapsed="false">
      <c r="A401" s="15"/>
      <c r="B401" s="14"/>
      <c r="C401" s="14"/>
      <c r="D401" s="15"/>
      <c r="E401" s="15"/>
      <c r="F401" s="12" t="str">
        <f aca="false">IF($A401="","",IFERROR(INDEX(Team!$B$5:$B$64,MATCH($A401,Team!$A$5:$A$64,0)),"?"))</f>
        <v/>
      </c>
      <c r="G401" s="13" t="str">
        <f aca="false">IF($A401="","",COUNTIF($A$6:$A401,$A401)&amp;". Wunsch")</f>
        <v/>
      </c>
      <c r="H401" s="13" t="str">
        <f aca="false">IF(OR($A401="",$B401="",$C401="",$C401&lt;$B401),"",NETWORKDAYS($B401,$C401,Einstellungen!$N$7:$N$40))</f>
        <v/>
      </c>
      <c r="I401" s="12" t="str">
        <f aca="false">IF($A401="","",IF(OR($B401="",$C401=""),"Von und Bis eintragen",IF($C401&lt;$B401,"Bis liegt vor Von",IF(ISNA(MATCH($A401,Team!$A$5:$A$64,0)),"Name fehlt im Blatt Team",IF(COUNTIFS($A$6:$A$605,$A401,$B$6:$B$605,"&lt;="&amp;$C401,$C$6:$C$605,"&gt;="&amp;$B401)&gt;1,"Überschneidet sich mit eigenem Wunsch",IF(OR($B401&lt;Einstellungen!$B$3,$C401&gt;Einstellungen!$B$4),"Teils außerhalb des Planungsjahres","ok"))))))</f>
        <v/>
      </c>
      <c r="J401" s="14"/>
    </row>
    <row r="402" customFormat="false" ht="15" hidden="false" customHeight="false" outlineLevel="0" collapsed="false">
      <c r="A402" s="15"/>
      <c r="B402" s="14"/>
      <c r="C402" s="14"/>
      <c r="D402" s="15"/>
      <c r="E402" s="15"/>
      <c r="F402" s="12" t="str">
        <f aca="false">IF($A402="","",IFERROR(INDEX(Team!$B$5:$B$64,MATCH($A402,Team!$A$5:$A$64,0)),"?"))</f>
        <v/>
      </c>
      <c r="G402" s="13" t="str">
        <f aca="false">IF($A402="","",COUNTIF($A$6:$A402,$A402)&amp;". Wunsch")</f>
        <v/>
      </c>
      <c r="H402" s="13" t="str">
        <f aca="false">IF(OR($A402="",$B402="",$C402="",$C402&lt;$B402),"",NETWORKDAYS($B402,$C402,Einstellungen!$N$7:$N$40))</f>
        <v/>
      </c>
      <c r="I402" s="12" t="str">
        <f aca="false">IF($A402="","",IF(OR($B402="",$C402=""),"Von und Bis eintragen",IF($C402&lt;$B402,"Bis liegt vor Von",IF(ISNA(MATCH($A402,Team!$A$5:$A$64,0)),"Name fehlt im Blatt Team",IF(COUNTIFS($A$6:$A$605,$A402,$B$6:$B$605,"&lt;="&amp;$C402,$C$6:$C$605,"&gt;="&amp;$B402)&gt;1,"Überschneidet sich mit eigenem Wunsch",IF(OR($B402&lt;Einstellungen!$B$3,$C402&gt;Einstellungen!$B$4),"Teils außerhalb des Planungsjahres","ok"))))))</f>
        <v/>
      </c>
      <c r="J402" s="14"/>
    </row>
    <row r="403" customFormat="false" ht="15" hidden="false" customHeight="false" outlineLevel="0" collapsed="false">
      <c r="A403" s="15"/>
      <c r="B403" s="14"/>
      <c r="C403" s="14"/>
      <c r="D403" s="15"/>
      <c r="E403" s="15"/>
      <c r="F403" s="12" t="str">
        <f aca="false">IF($A403="","",IFERROR(INDEX(Team!$B$5:$B$64,MATCH($A403,Team!$A$5:$A$64,0)),"?"))</f>
        <v/>
      </c>
      <c r="G403" s="13" t="str">
        <f aca="false">IF($A403="","",COUNTIF($A$6:$A403,$A403)&amp;". Wunsch")</f>
        <v/>
      </c>
      <c r="H403" s="13" t="str">
        <f aca="false">IF(OR($A403="",$B403="",$C403="",$C403&lt;$B403),"",NETWORKDAYS($B403,$C403,Einstellungen!$N$7:$N$40))</f>
        <v/>
      </c>
      <c r="I403" s="12" t="str">
        <f aca="false">IF($A403="","",IF(OR($B403="",$C403=""),"Von und Bis eintragen",IF($C403&lt;$B403,"Bis liegt vor Von",IF(ISNA(MATCH($A403,Team!$A$5:$A$64,0)),"Name fehlt im Blatt Team",IF(COUNTIFS($A$6:$A$605,$A403,$B$6:$B$605,"&lt;="&amp;$C403,$C$6:$C$605,"&gt;="&amp;$B403)&gt;1,"Überschneidet sich mit eigenem Wunsch",IF(OR($B403&lt;Einstellungen!$B$3,$C403&gt;Einstellungen!$B$4),"Teils außerhalb des Planungsjahres","ok"))))))</f>
        <v/>
      </c>
      <c r="J403" s="14"/>
    </row>
    <row r="404" customFormat="false" ht="15" hidden="false" customHeight="false" outlineLevel="0" collapsed="false">
      <c r="A404" s="15"/>
      <c r="B404" s="14"/>
      <c r="C404" s="14"/>
      <c r="D404" s="15"/>
      <c r="E404" s="15"/>
      <c r="F404" s="12" t="str">
        <f aca="false">IF($A404="","",IFERROR(INDEX(Team!$B$5:$B$64,MATCH($A404,Team!$A$5:$A$64,0)),"?"))</f>
        <v/>
      </c>
      <c r="G404" s="13" t="str">
        <f aca="false">IF($A404="","",COUNTIF($A$6:$A404,$A404)&amp;". Wunsch")</f>
        <v/>
      </c>
      <c r="H404" s="13" t="str">
        <f aca="false">IF(OR($A404="",$B404="",$C404="",$C404&lt;$B404),"",NETWORKDAYS($B404,$C404,Einstellungen!$N$7:$N$40))</f>
        <v/>
      </c>
      <c r="I404" s="12" t="str">
        <f aca="false">IF($A404="","",IF(OR($B404="",$C404=""),"Von und Bis eintragen",IF($C404&lt;$B404,"Bis liegt vor Von",IF(ISNA(MATCH($A404,Team!$A$5:$A$64,0)),"Name fehlt im Blatt Team",IF(COUNTIFS($A$6:$A$605,$A404,$B$6:$B$605,"&lt;="&amp;$C404,$C$6:$C$605,"&gt;="&amp;$B404)&gt;1,"Überschneidet sich mit eigenem Wunsch",IF(OR($B404&lt;Einstellungen!$B$3,$C404&gt;Einstellungen!$B$4),"Teils außerhalb des Planungsjahres","ok"))))))</f>
        <v/>
      </c>
      <c r="J404" s="14"/>
    </row>
    <row r="405" customFormat="false" ht="15" hidden="false" customHeight="false" outlineLevel="0" collapsed="false">
      <c r="A405" s="15"/>
      <c r="B405" s="14"/>
      <c r="C405" s="14"/>
      <c r="D405" s="15"/>
      <c r="E405" s="15"/>
      <c r="F405" s="12" t="str">
        <f aca="false">IF($A405="","",IFERROR(INDEX(Team!$B$5:$B$64,MATCH($A405,Team!$A$5:$A$64,0)),"?"))</f>
        <v/>
      </c>
      <c r="G405" s="13" t="str">
        <f aca="false">IF($A405="","",COUNTIF($A$6:$A405,$A405)&amp;". Wunsch")</f>
        <v/>
      </c>
      <c r="H405" s="13" t="str">
        <f aca="false">IF(OR($A405="",$B405="",$C405="",$C405&lt;$B405),"",NETWORKDAYS($B405,$C405,Einstellungen!$N$7:$N$40))</f>
        <v/>
      </c>
      <c r="I405" s="12" t="str">
        <f aca="false">IF($A405="","",IF(OR($B405="",$C405=""),"Von und Bis eintragen",IF($C405&lt;$B405,"Bis liegt vor Von",IF(ISNA(MATCH($A405,Team!$A$5:$A$64,0)),"Name fehlt im Blatt Team",IF(COUNTIFS($A$6:$A$605,$A405,$B$6:$B$605,"&lt;="&amp;$C405,$C$6:$C$605,"&gt;="&amp;$B405)&gt;1,"Überschneidet sich mit eigenem Wunsch",IF(OR($B405&lt;Einstellungen!$B$3,$C405&gt;Einstellungen!$B$4),"Teils außerhalb des Planungsjahres","ok"))))))</f>
        <v/>
      </c>
      <c r="J405" s="14"/>
    </row>
    <row r="406" customFormat="false" ht="15" hidden="false" customHeight="false" outlineLevel="0" collapsed="false">
      <c r="A406" s="15"/>
      <c r="B406" s="14"/>
      <c r="C406" s="14"/>
      <c r="D406" s="15"/>
      <c r="E406" s="15"/>
      <c r="F406" s="12" t="str">
        <f aca="false">IF($A406="","",IFERROR(INDEX(Team!$B$5:$B$64,MATCH($A406,Team!$A$5:$A$64,0)),"?"))</f>
        <v/>
      </c>
      <c r="G406" s="13" t="str">
        <f aca="false">IF($A406="","",COUNTIF($A$6:$A406,$A406)&amp;". Wunsch")</f>
        <v/>
      </c>
      <c r="H406" s="13" t="str">
        <f aca="false">IF(OR($A406="",$B406="",$C406="",$C406&lt;$B406),"",NETWORKDAYS($B406,$C406,Einstellungen!$N$7:$N$40))</f>
        <v/>
      </c>
      <c r="I406" s="12" t="str">
        <f aca="false">IF($A406="","",IF(OR($B406="",$C406=""),"Von und Bis eintragen",IF($C406&lt;$B406,"Bis liegt vor Von",IF(ISNA(MATCH($A406,Team!$A$5:$A$64,0)),"Name fehlt im Blatt Team",IF(COUNTIFS($A$6:$A$605,$A406,$B$6:$B$605,"&lt;="&amp;$C406,$C$6:$C$605,"&gt;="&amp;$B406)&gt;1,"Überschneidet sich mit eigenem Wunsch",IF(OR($B406&lt;Einstellungen!$B$3,$C406&gt;Einstellungen!$B$4),"Teils außerhalb des Planungsjahres","ok"))))))</f>
        <v/>
      </c>
      <c r="J406" s="14"/>
    </row>
    <row r="407" customFormat="false" ht="15" hidden="false" customHeight="false" outlineLevel="0" collapsed="false">
      <c r="A407" s="15"/>
      <c r="B407" s="14"/>
      <c r="C407" s="14"/>
      <c r="D407" s="15"/>
      <c r="E407" s="15"/>
      <c r="F407" s="12" t="str">
        <f aca="false">IF($A407="","",IFERROR(INDEX(Team!$B$5:$B$64,MATCH($A407,Team!$A$5:$A$64,0)),"?"))</f>
        <v/>
      </c>
      <c r="G407" s="13" t="str">
        <f aca="false">IF($A407="","",COUNTIF($A$6:$A407,$A407)&amp;". Wunsch")</f>
        <v/>
      </c>
      <c r="H407" s="13" t="str">
        <f aca="false">IF(OR($A407="",$B407="",$C407="",$C407&lt;$B407),"",NETWORKDAYS($B407,$C407,Einstellungen!$N$7:$N$40))</f>
        <v/>
      </c>
      <c r="I407" s="12" t="str">
        <f aca="false">IF($A407="","",IF(OR($B407="",$C407=""),"Von und Bis eintragen",IF($C407&lt;$B407,"Bis liegt vor Von",IF(ISNA(MATCH($A407,Team!$A$5:$A$64,0)),"Name fehlt im Blatt Team",IF(COUNTIFS($A$6:$A$605,$A407,$B$6:$B$605,"&lt;="&amp;$C407,$C$6:$C$605,"&gt;="&amp;$B407)&gt;1,"Überschneidet sich mit eigenem Wunsch",IF(OR($B407&lt;Einstellungen!$B$3,$C407&gt;Einstellungen!$B$4),"Teils außerhalb des Planungsjahres","ok"))))))</f>
        <v/>
      </c>
      <c r="J407" s="14"/>
    </row>
    <row r="408" customFormat="false" ht="15" hidden="false" customHeight="false" outlineLevel="0" collapsed="false">
      <c r="A408" s="15"/>
      <c r="B408" s="14"/>
      <c r="C408" s="14"/>
      <c r="D408" s="15"/>
      <c r="E408" s="15"/>
      <c r="F408" s="12" t="str">
        <f aca="false">IF($A408="","",IFERROR(INDEX(Team!$B$5:$B$64,MATCH($A408,Team!$A$5:$A$64,0)),"?"))</f>
        <v/>
      </c>
      <c r="G408" s="13" t="str">
        <f aca="false">IF($A408="","",COUNTIF($A$6:$A408,$A408)&amp;". Wunsch")</f>
        <v/>
      </c>
      <c r="H408" s="13" t="str">
        <f aca="false">IF(OR($A408="",$B408="",$C408="",$C408&lt;$B408),"",NETWORKDAYS($B408,$C408,Einstellungen!$N$7:$N$40))</f>
        <v/>
      </c>
      <c r="I408" s="12" t="str">
        <f aca="false">IF($A408="","",IF(OR($B408="",$C408=""),"Von und Bis eintragen",IF($C408&lt;$B408,"Bis liegt vor Von",IF(ISNA(MATCH($A408,Team!$A$5:$A$64,0)),"Name fehlt im Blatt Team",IF(COUNTIFS($A$6:$A$605,$A408,$B$6:$B$605,"&lt;="&amp;$C408,$C$6:$C$605,"&gt;="&amp;$B408)&gt;1,"Überschneidet sich mit eigenem Wunsch",IF(OR($B408&lt;Einstellungen!$B$3,$C408&gt;Einstellungen!$B$4),"Teils außerhalb des Planungsjahres","ok"))))))</f>
        <v/>
      </c>
      <c r="J408" s="14"/>
    </row>
    <row r="409" customFormat="false" ht="15" hidden="false" customHeight="false" outlineLevel="0" collapsed="false">
      <c r="A409" s="15"/>
      <c r="B409" s="14"/>
      <c r="C409" s="14"/>
      <c r="D409" s="15"/>
      <c r="E409" s="15"/>
      <c r="F409" s="12" t="str">
        <f aca="false">IF($A409="","",IFERROR(INDEX(Team!$B$5:$B$64,MATCH($A409,Team!$A$5:$A$64,0)),"?"))</f>
        <v/>
      </c>
      <c r="G409" s="13" t="str">
        <f aca="false">IF($A409="","",COUNTIF($A$6:$A409,$A409)&amp;". Wunsch")</f>
        <v/>
      </c>
      <c r="H409" s="13" t="str">
        <f aca="false">IF(OR($A409="",$B409="",$C409="",$C409&lt;$B409),"",NETWORKDAYS($B409,$C409,Einstellungen!$N$7:$N$40))</f>
        <v/>
      </c>
      <c r="I409" s="12" t="str">
        <f aca="false">IF($A409="","",IF(OR($B409="",$C409=""),"Von und Bis eintragen",IF($C409&lt;$B409,"Bis liegt vor Von",IF(ISNA(MATCH($A409,Team!$A$5:$A$64,0)),"Name fehlt im Blatt Team",IF(COUNTIFS($A$6:$A$605,$A409,$B$6:$B$605,"&lt;="&amp;$C409,$C$6:$C$605,"&gt;="&amp;$B409)&gt;1,"Überschneidet sich mit eigenem Wunsch",IF(OR($B409&lt;Einstellungen!$B$3,$C409&gt;Einstellungen!$B$4),"Teils außerhalb des Planungsjahres","ok"))))))</f>
        <v/>
      </c>
      <c r="J409" s="14"/>
    </row>
    <row r="410" customFormat="false" ht="15" hidden="false" customHeight="false" outlineLevel="0" collapsed="false">
      <c r="A410" s="15"/>
      <c r="B410" s="14"/>
      <c r="C410" s="14"/>
      <c r="D410" s="15"/>
      <c r="E410" s="15"/>
      <c r="F410" s="12" t="str">
        <f aca="false">IF($A410="","",IFERROR(INDEX(Team!$B$5:$B$64,MATCH($A410,Team!$A$5:$A$64,0)),"?"))</f>
        <v/>
      </c>
      <c r="G410" s="13" t="str">
        <f aca="false">IF($A410="","",COUNTIF($A$6:$A410,$A410)&amp;". Wunsch")</f>
        <v/>
      </c>
      <c r="H410" s="13" t="str">
        <f aca="false">IF(OR($A410="",$B410="",$C410="",$C410&lt;$B410),"",NETWORKDAYS($B410,$C410,Einstellungen!$N$7:$N$40))</f>
        <v/>
      </c>
      <c r="I410" s="12" t="str">
        <f aca="false">IF($A410="","",IF(OR($B410="",$C410=""),"Von und Bis eintragen",IF($C410&lt;$B410,"Bis liegt vor Von",IF(ISNA(MATCH($A410,Team!$A$5:$A$64,0)),"Name fehlt im Blatt Team",IF(COUNTIFS($A$6:$A$605,$A410,$B$6:$B$605,"&lt;="&amp;$C410,$C$6:$C$605,"&gt;="&amp;$B410)&gt;1,"Überschneidet sich mit eigenem Wunsch",IF(OR($B410&lt;Einstellungen!$B$3,$C410&gt;Einstellungen!$B$4),"Teils außerhalb des Planungsjahres","ok"))))))</f>
        <v/>
      </c>
      <c r="J410" s="14"/>
    </row>
    <row r="411" customFormat="false" ht="15" hidden="false" customHeight="false" outlineLevel="0" collapsed="false">
      <c r="A411" s="15"/>
      <c r="B411" s="14"/>
      <c r="C411" s="14"/>
      <c r="D411" s="15"/>
      <c r="E411" s="15"/>
      <c r="F411" s="12" t="str">
        <f aca="false">IF($A411="","",IFERROR(INDEX(Team!$B$5:$B$64,MATCH($A411,Team!$A$5:$A$64,0)),"?"))</f>
        <v/>
      </c>
      <c r="G411" s="13" t="str">
        <f aca="false">IF($A411="","",COUNTIF($A$6:$A411,$A411)&amp;". Wunsch")</f>
        <v/>
      </c>
      <c r="H411" s="13" t="str">
        <f aca="false">IF(OR($A411="",$B411="",$C411="",$C411&lt;$B411),"",NETWORKDAYS($B411,$C411,Einstellungen!$N$7:$N$40))</f>
        <v/>
      </c>
      <c r="I411" s="12" t="str">
        <f aca="false">IF($A411="","",IF(OR($B411="",$C411=""),"Von und Bis eintragen",IF($C411&lt;$B411,"Bis liegt vor Von",IF(ISNA(MATCH($A411,Team!$A$5:$A$64,0)),"Name fehlt im Blatt Team",IF(COUNTIFS($A$6:$A$605,$A411,$B$6:$B$605,"&lt;="&amp;$C411,$C$6:$C$605,"&gt;="&amp;$B411)&gt;1,"Überschneidet sich mit eigenem Wunsch",IF(OR($B411&lt;Einstellungen!$B$3,$C411&gt;Einstellungen!$B$4),"Teils außerhalb des Planungsjahres","ok"))))))</f>
        <v/>
      </c>
      <c r="J411" s="14"/>
    </row>
    <row r="412" customFormat="false" ht="15" hidden="false" customHeight="false" outlineLevel="0" collapsed="false">
      <c r="A412" s="15"/>
      <c r="B412" s="14"/>
      <c r="C412" s="14"/>
      <c r="D412" s="15"/>
      <c r="E412" s="15"/>
      <c r="F412" s="12" t="str">
        <f aca="false">IF($A412="","",IFERROR(INDEX(Team!$B$5:$B$64,MATCH($A412,Team!$A$5:$A$64,0)),"?"))</f>
        <v/>
      </c>
      <c r="G412" s="13" t="str">
        <f aca="false">IF($A412="","",COUNTIF($A$6:$A412,$A412)&amp;". Wunsch")</f>
        <v/>
      </c>
      <c r="H412" s="13" t="str">
        <f aca="false">IF(OR($A412="",$B412="",$C412="",$C412&lt;$B412),"",NETWORKDAYS($B412,$C412,Einstellungen!$N$7:$N$40))</f>
        <v/>
      </c>
      <c r="I412" s="12" t="str">
        <f aca="false">IF($A412="","",IF(OR($B412="",$C412=""),"Von und Bis eintragen",IF($C412&lt;$B412,"Bis liegt vor Von",IF(ISNA(MATCH($A412,Team!$A$5:$A$64,0)),"Name fehlt im Blatt Team",IF(COUNTIFS($A$6:$A$605,$A412,$B$6:$B$605,"&lt;="&amp;$C412,$C$6:$C$605,"&gt;="&amp;$B412)&gt;1,"Überschneidet sich mit eigenem Wunsch",IF(OR($B412&lt;Einstellungen!$B$3,$C412&gt;Einstellungen!$B$4),"Teils außerhalb des Planungsjahres","ok"))))))</f>
        <v/>
      </c>
      <c r="J412" s="14"/>
    </row>
    <row r="413" customFormat="false" ht="15" hidden="false" customHeight="false" outlineLevel="0" collapsed="false">
      <c r="A413" s="15"/>
      <c r="B413" s="14"/>
      <c r="C413" s="14"/>
      <c r="D413" s="15"/>
      <c r="E413" s="15"/>
      <c r="F413" s="12" t="str">
        <f aca="false">IF($A413="","",IFERROR(INDEX(Team!$B$5:$B$64,MATCH($A413,Team!$A$5:$A$64,0)),"?"))</f>
        <v/>
      </c>
      <c r="G413" s="13" t="str">
        <f aca="false">IF($A413="","",COUNTIF($A$6:$A413,$A413)&amp;". Wunsch")</f>
        <v/>
      </c>
      <c r="H413" s="13" t="str">
        <f aca="false">IF(OR($A413="",$B413="",$C413="",$C413&lt;$B413),"",NETWORKDAYS($B413,$C413,Einstellungen!$N$7:$N$40))</f>
        <v/>
      </c>
      <c r="I413" s="12" t="str">
        <f aca="false">IF($A413="","",IF(OR($B413="",$C413=""),"Von und Bis eintragen",IF($C413&lt;$B413,"Bis liegt vor Von",IF(ISNA(MATCH($A413,Team!$A$5:$A$64,0)),"Name fehlt im Blatt Team",IF(COUNTIFS($A$6:$A$605,$A413,$B$6:$B$605,"&lt;="&amp;$C413,$C$6:$C$605,"&gt;="&amp;$B413)&gt;1,"Überschneidet sich mit eigenem Wunsch",IF(OR($B413&lt;Einstellungen!$B$3,$C413&gt;Einstellungen!$B$4),"Teils außerhalb des Planungsjahres","ok"))))))</f>
        <v/>
      </c>
      <c r="J413" s="14"/>
    </row>
    <row r="414" customFormat="false" ht="15" hidden="false" customHeight="false" outlineLevel="0" collapsed="false">
      <c r="A414" s="15"/>
      <c r="B414" s="14"/>
      <c r="C414" s="14"/>
      <c r="D414" s="15"/>
      <c r="E414" s="15"/>
      <c r="F414" s="12" t="str">
        <f aca="false">IF($A414="","",IFERROR(INDEX(Team!$B$5:$B$64,MATCH($A414,Team!$A$5:$A$64,0)),"?"))</f>
        <v/>
      </c>
      <c r="G414" s="13" t="str">
        <f aca="false">IF($A414="","",COUNTIF($A$6:$A414,$A414)&amp;". Wunsch")</f>
        <v/>
      </c>
      <c r="H414" s="13" t="str">
        <f aca="false">IF(OR($A414="",$B414="",$C414="",$C414&lt;$B414),"",NETWORKDAYS($B414,$C414,Einstellungen!$N$7:$N$40))</f>
        <v/>
      </c>
      <c r="I414" s="12" t="str">
        <f aca="false">IF($A414="","",IF(OR($B414="",$C414=""),"Von und Bis eintragen",IF($C414&lt;$B414,"Bis liegt vor Von",IF(ISNA(MATCH($A414,Team!$A$5:$A$64,0)),"Name fehlt im Blatt Team",IF(COUNTIFS($A$6:$A$605,$A414,$B$6:$B$605,"&lt;="&amp;$C414,$C$6:$C$605,"&gt;="&amp;$B414)&gt;1,"Überschneidet sich mit eigenem Wunsch",IF(OR($B414&lt;Einstellungen!$B$3,$C414&gt;Einstellungen!$B$4),"Teils außerhalb des Planungsjahres","ok"))))))</f>
        <v/>
      </c>
      <c r="J414" s="14"/>
    </row>
    <row r="415" customFormat="false" ht="15" hidden="false" customHeight="false" outlineLevel="0" collapsed="false">
      <c r="A415" s="15"/>
      <c r="B415" s="14"/>
      <c r="C415" s="14"/>
      <c r="D415" s="15"/>
      <c r="E415" s="15"/>
      <c r="F415" s="12" t="str">
        <f aca="false">IF($A415="","",IFERROR(INDEX(Team!$B$5:$B$64,MATCH($A415,Team!$A$5:$A$64,0)),"?"))</f>
        <v/>
      </c>
      <c r="G415" s="13" t="str">
        <f aca="false">IF($A415="","",COUNTIF($A$6:$A415,$A415)&amp;". Wunsch")</f>
        <v/>
      </c>
      <c r="H415" s="13" t="str">
        <f aca="false">IF(OR($A415="",$B415="",$C415="",$C415&lt;$B415),"",NETWORKDAYS($B415,$C415,Einstellungen!$N$7:$N$40))</f>
        <v/>
      </c>
      <c r="I415" s="12" t="str">
        <f aca="false">IF($A415="","",IF(OR($B415="",$C415=""),"Von und Bis eintragen",IF($C415&lt;$B415,"Bis liegt vor Von",IF(ISNA(MATCH($A415,Team!$A$5:$A$64,0)),"Name fehlt im Blatt Team",IF(COUNTIFS($A$6:$A$605,$A415,$B$6:$B$605,"&lt;="&amp;$C415,$C$6:$C$605,"&gt;="&amp;$B415)&gt;1,"Überschneidet sich mit eigenem Wunsch",IF(OR($B415&lt;Einstellungen!$B$3,$C415&gt;Einstellungen!$B$4),"Teils außerhalb des Planungsjahres","ok"))))))</f>
        <v/>
      </c>
      <c r="J415" s="14"/>
    </row>
    <row r="416" customFormat="false" ht="15" hidden="false" customHeight="false" outlineLevel="0" collapsed="false">
      <c r="A416" s="15"/>
      <c r="B416" s="14"/>
      <c r="C416" s="14"/>
      <c r="D416" s="15"/>
      <c r="E416" s="15"/>
      <c r="F416" s="12" t="str">
        <f aca="false">IF($A416="","",IFERROR(INDEX(Team!$B$5:$B$64,MATCH($A416,Team!$A$5:$A$64,0)),"?"))</f>
        <v/>
      </c>
      <c r="G416" s="13" t="str">
        <f aca="false">IF($A416="","",COUNTIF($A$6:$A416,$A416)&amp;". Wunsch")</f>
        <v/>
      </c>
      <c r="H416" s="13" t="str">
        <f aca="false">IF(OR($A416="",$B416="",$C416="",$C416&lt;$B416),"",NETWORKDAYS($B416,$C416,Einstellungen!$N$7:$N$40))</f>
        <v/>
      </c>
      <c r="I416" s="12" t="str">
        <f aca="false">IF($A416="","",IF(OR($B416="",$C416=""),"Von und Bis eintragen",IF($C416&lt;$B416,"Bis liegt vor Von",IF(ISNA(MATCH($A416,Team!$A$5:$A$64,0)),"Name fehlt im Blatt Team",IF(COUNTIFS($A$6:$A$605,$A416,$B$6:$B$605,"&lt;="&amp;$C416,$C$6:$C$605,"&gt;="&amp;$B416)&gt;1,"Überschneidet sich mit eigenem Wunsch",IF(OR($B416&lt;Einstellungen!$B$3,$C416&gt;Einstellungen!$B$4),"Teils außerhalb des Planungsjahres","ok"))))))</f>
        <v/>
      </c>
      <c r="J416" s="14"/>
    </row>
    <row r="417" customFormat="false" ht="15" hidden="false" customHeight="false" outlineLevel="0" collapsed="false">
      <c r="A417" s="15"/>
      <c r="B417" s="14"/>
      <c r="C417" s="14"/>
      <c r="D417" s="15"/>
      <c r="E417" s="15"/>
      <c r="F417" s="12" t="str">
        <f aca="false">IF($A417="","",IFERROR(INDEX(Team!$B$5:$B$64,MATCH($A417,Team!$A$5:$A$64,0)),"?"))</f>
        <v/>
      </c>
      <c r="G417" s="13" t="str">
        <f aca="false">IF($A417="","",COUNTIF($A$6:$A417,$A417)&amp;". Wunsch")</f>
        <v/>
      </c>
      <c r="H417" s="13" t="str">
        <f aca="false">IF(OR($A417="",$B417="",$C417="",$C417&lt;$B417),"",NETWORKDAYS($B417,$C417,Einstellungen!$N$7:$N$40))</f>
        <v/>
      </c>
      <c r="I417" s="12" t="str">
        <f aca="false">IF($A417="","",IF(OR($B417="",$C417=""),"Von und Bis eintragen",IF($C417&lt;$B417,"Bis liegt vor Von",IF(ISNA(MATCH($A417,Team!$A$5:$A$64,0)),"Name fehlt im Blatt Team",IF(COUNTIFS($A$6:$A$605,$A417,$B$6:$B$605,"&lt;="&amp;$C417,$C$6:$C$605,"&gt;="&amp;$B417)&gt;1,"Überschneidet sich mit eigenem Wunsch",IF(OR($B417&lt;Einstellungen!$B$3,$C417&gt;Einstellungen!$B$4),"Teils außerhalb des Planungsjahres","ok"))))))</f>
        <v/>
      </c>
      <c r="J417" s="14"/>
    </row>
    <row r="418" customFormat="false" ht="15" hidden="false" customHeight="false" outlineLevel="0" collapsed="false">
      <c r="A418" s="15"/>
      <c r="B418" s="14"/>
      <c r="C418" s="14"/>
      <c r="D418" s="15"/>
      <c r="E418" s="15"/>
      <c r="F418" s="12" t="str">
        <f aca="false">IF($A418="","",IFERROR(INDEX(Team!$B$5:$B$64,MATCH($A418,Team!$A$5:$A$64,0)),"?"))</f>
        <v/>
      </c>
      <c r="G418" s="13" t="str">
        <f aca="false">IF($A418="","",COUNTIF($A$6:$A418,$A418)&amp;". Wunsch")</f>
        <v/>
      </c>
      <c r="H418" s="13" t="str">
        <f aca="false">IF(OR($A418="",$B418="",$C418="",$C418&lt;$B418),"",NETWORKDAYS($B418,$C418,Einstellungen!$N$7:$N$40))</f>
        <v/>
      </c>
      <c r="I418" s="12" t="str">
        <f aca="false">IF($A418="","",IF(OR($B418="",$C418=""),"Von und Bis eintragen",IF($C418&lt;$B418,"Bis liegt vor Von",IF(ISNA(MATCH($A418,Team!$A$5:$A$64,0)),"Name fehlt im Blatt Team",IF(COUNTIFS($A$6:$A$605,$A418,$B$6:$B$605,"&lt;="&amp;$C418,$C$6:$C$605,"&gt;="&amp;$B418)&gt;1,"Überschneidet sich mit eigenem Wunsch",IF(OR($B418&lt;Einstellungen!$B$3,$C418&gt;Einstellungen!$B$4),"Teils außerhalb des Planungsjahres","ok"))))))</f>
        <v/>
      </c>
      <c r="J418" s="14"/>
    </row>
    <row r="419" customFormat="false" ht="15" hidden="false" customHeight="false" outlineLevel="0" collapsed="false">
      <c r="A419" s="15"/>
      <c r="B419" s="14"/>
      <c r="C419" s="14"/>
      <c r="D419" s="15"/>
      <c r="E419" s="15"/>
      <c r="F419" s="12" t="str">
        <f aca="false">IF($A419="","",IFERROR(INDEX(Team!$B$5:$B$64,MATCH($A419,Team!$A$5:$A$64,0)),"?"))</f>
        <v/>
      </c>
      <c r="G419" s="13" t="str">
        <f aca="false">IF($A419="","",COUNTIF($A$6:$A419,$A419)&amp;". Wunsch")</f>
        <v/>
      </c>
      <c r="H419" s="13" t="str">
        <f aca="false">IF(OR($A419="",$B419="",$C419="",$C419&lt;$B419),"",NETWORKDAYS($B419,$C419,Einstellungen!$N$7:$N$40))</f>
        <v/>
      </c>
      <c r="I419" s="12" t="str">
        <f aca="false">IF($A419="","",IF(OR($B419="",$C419=""),"Von und Bis eintragen",IF($C419&lt;$B419,"Bis liegt vor Von",IF(ISNA(MATCH($A419,Team!$A$5:$A$64,0)),"Name fehlt im Blatt Team",IF(COUNTIFS($A$6:$A$605,$A419,$B$6:$B$605,"&lt;="&amp;$C419,$C$6:$C$605,"&gt;="&amp;$B419)&gt;1,"Überschneidet sich mit eigenem Wunsch",IF(OR($B419&lt;Einstellungen!$B$3,$C419&gt;Einstellungen!$B$4),"Teils außerhalb des Planungsjahres","ok"))))))</f>
        <v/>
      </c>
      <c r="J419" s="14"/>
    </row>
    <row r="420" customFormat="false" ht="15" hidden="false" customHeight="false" outlineLevel="0" collapsed="false">
      <c r="A420" s="15"/>
      <c r="B420" s="14"/>
      <c r="C420" s="14"/>
      <c r="D420" s="15"/>
      <c r="E420" s="15"/>
      <c r="F420" s="12" t="str">
        <f aca="false">IF($A420="","",IFERROR(INDEX(Team!$B$5:$B$64,MATCH($A420,Team!$A$5:$A$64,0)),"?"))</f>
        <v/>
      </c>
      <c r="G420" s="13" t="str">
        <f aca="false">IF($A420="","",COUNTIF($A$6:$A420,$A420)&amp;". Wunsch")</f>
        <v/>
      </c>
      <c r="H420" s="13" t="str">
        <f aca="false">IF(OR($A420="",$B420="",$C420="",$C420&lt;$B420),"",NETWORKDAYS($B420,$C420,Einstellungen!$N$7:$N$40))</f>
        <v/>
      </c>
      <c r="I420" s="12" t="str">
        <f aca="false">IF($A420="","",IF(OR($B420="",$C420=""),"Von und Bis eintragen",IF($C420&lt;$B420,"Bis liegt vor Von",IF(ISNA(MATCH($A420,Team!$A$5:$A$64,0)),"Name fehlt im Blatt Team",IF(COUNTIFS($A$6:$A$605,$A420,$B$6:$B$605,"&lt;="&amp;$C420,$C$6:$C$605,"&gt;="&amp;$B420)&gt;1,"Überschneidet sich mit eigenem Wunsch",IF(OR($B420&lt;Einstellungen!$B$3,$C420&gt;Einstellungen!$B$4),"Teils außerhalb des Planungsjahres","ok"))))))</f>
        <v/>
      </c>
      <c r="J420" s="14"/>
    </row>
    <row r="421" customFormat="false" ht="15" hidden="false" customHeight="false" outlineLevel="0" collapsed="false">
      <c r="A421" s="15"/>
      <c r="B421" s="14"/>
      <c r="C421" s="14"/>
      <c r="D421" s="15"/>
      <c r="E421" s="15"/>
      <c r="F421" s="12" t="str">
        <f aca="false">IF($A421="","",IFERROR(INDEX(Team!$B$5:$B$64,MATCH($A421,Team!$A$5:$A$64,0)),"?"))</f>
        <v/>
      </c>
      <c r="G421" s="13" t="str">
        <f aca="false">IF($A421="","",COUNTIF($A$6:$A421,$A421)&amp;". Wunsch")</f>
        <v/>
      </c>
      <c r="H421" s="13" t="str">
        <f aca="false">IF(OR($A421="",$B421="",$C421="",$C421&lt;$B421),"",NETWORKDAYS($B421,$C421,Einstellungen!$N$7:$N$40))</f>
        <v/>
      </c>
      <c r="I421" s="12" t="str">
        <f aca="false">IF($A421="","",IF(OR($B421="",$C421=""),"Von und Bis eintragen",IF($C421&lt;$B421,"Bis liegt vor Von",IF(ISNA(MATCH($A421,Team!$A$5:$A$64,0)),"Name fehlt im Blatt Team",IF(COUNTIFS($A$6:$A$605,$A421,$B$6:$B$605,"&lt;="&amp;$C421,$C$6:$C$605,"&gt;="&amp;$B421)&gt;1,"Überschneidet sich mit eigenem Wunsch",IF(OR($B421&lt;Einstellungen!$B$3,$C421&gt;Einstellungen!$B$4),"Teils außerhalb des Planungsjahres","ok"))))))</f>
        <v/>
      </c>
      <c r="J421" s="14"/>
    </row>
    <row r="422" customFormat="false" ht="15" hidden="false" customHeight="false" outlineLevel="0" collapsed="false">
      <c r="A422" s="15"/>
      <c r="B422" s="14"/>
      <c r="C422" s="14"/>
      <c r="D422" s="15"/>
      <c r="E422" s="15"/>
      <c r="F422" s="12" t="str">
        <f aca="false">IF($A422="","",IFERROR(INDEX(Team!$B$5:$B$64,MATCH($A422,Team!$A$5:$A$64,0)),"?"))</f>
        <v/>
      </c>
      <c r="G422" s="13" t="str">
        <f aca="false">IF($A422="","",COUNTIF($A$6:$A422,$A422)&amp;". Wunsch")</f>
        <v/>
      </c>
      <c r="H422" s="13" t="str">
        <f aca="false">IF(OR($A422="",$B422="",$C422="",$C422&lt;$B422),"",NETWORKDAYS($B422,$C422,Einstellungen!$N$7:$N$40))</f>
        <v/>
      </c>
      <c r="I422" s="12" t="str">
        <f aca="false">IF($A422="","",IF(OR($B422="",$C422=""),"Von und Bis eintragen",IF($C422&lt;$B422,"Bis liegt vor Von",IF(ISNA(MATCH($A422,Team!$A$5:$A$64,0)),"Name fehlt im Blatt Team",IF(COUNTIFS($A$6:$A$605,$A422,$B$6:$B$605,"&lt;="&amp;$C422,$C$6:$C$605,"&gt;="&amp;$B422)&gt;1,"Überschneidet sich mit eigenem Wunsch",IF(OR($B422&lt;Einstellungen!$B$3,$C422&gt;Einstellungen!$B$4),"Teils außerhalb des Planungsjahres","ok"))))))</f>
        <v/>
      </c>
      <c r="J422" s="14"/>
    </row>
    <row r="423" customFormat="false" ht="15" hidden="false" customHeight="false" outlineLevel="0" collapsed="false">
      <c r="A423" s="15"/>
      <c r="B423" s="14"/>
      <c r="C423" s="14"/>
      <c r="D423" s="15"/>
      <c r="E423" s="15"/>
      <c r="F423" s="12" t="str">
        <f aca="false">IF($A423="","",IFERROR(INDEX(Team!$B$5:$B$64,MATCH($A423,Team!$A$5:$A$64,0)),"?"))</f>
        <v/>
      </c>
      <c r="G423" s="13" t="str">
        <f aca="false">IF($A423="","",COUNTIF($A$6:$A423,$A423)&amp;". Wunsch")</f>
        <v/>
      </c>
      <c r="H423" s="13" t="str">
        <f aca="false">IF(OR($A423="",$B423="",$C423="",$C423&lt;$B423),"",NETWORKDAYS($B423,$C423,Einstellungen!$N$7:$N$40))</f>
        <v/>
      </c>
      <c r="I423" s="12" t="str">
        <f aca="false">IF($A423="","",IF(OR($B423="",$C423=""),"Von und Bis eintragen",IF($C423&lt;$B423,"Bis liegt vor Von",IF(ISNA(MATCH($A423,Team!$A$5:$A$64,0)),"Name fehlt im Blatt Team",IF(COUNTIFS($A$6:$A$605,$A423,$B$6:$B$605,"&lt;="&amp;$C423,$C$6:$C$605,"&gt;="&amp;$B423)&gt;1,"Überschneidet sich mit eigenem Wunsch",IF(OR($B423&lt;Einstellungen!$B$3,$C423&gt;Einstellungen!$B$4),"Teils außerhalb des Planungsjahres","ok"))))))</f>
        <v/>
      </c>
      <c r="J423" s="14"/>
    </row>
    <row r="424" customFormat="false" ht="15" hidden="false" customHeight="false" outlineLevel="0" collapsed="false">
      <c r="A424" s="15"/>
      <c r="B424" s="14"/>
      <c r="C424" s="14"/>
      <c r="D424" s="15"/>
      <c r="E424" s="15"/>
      <c r="F424" s="12" t="str">
        <f aca="false">IF($A424="","",IFERROR(INDEX(Team!$B$5:$B$64,MATCH($A424,Team!$A$5:$A$64,0)),"?"))</f>
        <v/>
      </c>
      <c r="G424" s="13" t="str">
        <f aca="false">IF($A424="","",COUNTIF($A$6:$A424,$A424)&amp;". Wunsch")</f>
        <v/>
      </c>
      <c r="H424" s="13" t="str">
        <f aca="false">IF(OR($A424="",$B424="",$C424="",$C424&lt;$B424),"",NETWORKDAYS($B424,$C424,Einstellungen!$N$7:$N$40))</f>
        <v/>
      </c>
      <c r="I424" s="12" t="str">
        <f aca="false">IF($A424="","",IF(OR($B424="",$C424=""),"Von und Bis eintragen",IF($C424&lt;$B424,"Bis liegt vor Von",IF(ISNA(MATCH($A424,Team!$A$5:$A$64,0)),"Name fehlt im Blatt Team",IF(COUNTIFS($A$6:$A$605,$A424,$B$6:$B$605,"&lt;="&amp;$C424,$C$6:$C$605,"&gt;="&amp;$B424)&gt;1,"Überschneidet sich mit eigenem Wunsch",IF(OR($B424&lt;Einstellungen!$B$3,$C424&gt;Einstellungen!$B$4),"Teils außerhalb des Planungsjahres","ok"))))))</f>
        <v/>
      </c>
      <c r="J424" s="14"/>
    </row>
    <row r="425" customFormat="false" ht="15" hidden="false" customHeight="false" outlineLevel="0" collapsed="false">
      <c r="A425" s="15"/>
      <c r="B425" s="14"/>
      <c r="C425" s="14"/>
      <c r="D425" s="15"/>
      <c r="E425" s="15"/>
      <c r="F425" s="12" t="str">
        <f aca="false">IF($A425="","",IFERROR(INDEX(Team!$B$5:$B$64,MATCH($A425,Team!$A$5:$A$64,0)),"?"))</f>
        <v/>
      </c>
      <c r="G425" s="13" t="str">
        <f aca="false">IF($A425="","",COUNTIF($A$6:$A425,$A425)&amp;". Wunsch")</f>
        <v/>
      </c>
      <c r="H425" s="13" t="str">
        <f aca="false">IF(OR($A425="",$B425="",$C425="",$C425&lt;$B425),"",NETWORKDAYS($B425,$C425,Einstellungen!$N$7:$N$40))</f>
        <v/>
      </c>
      <c r="I425" s="12" t="str">
        <f aca="false">IF($A425="","",IF(OR($B425="",$C425=""),"Von und Bis eintragen",IF($C425&lt;$B425,"Bis liegt vor Von",IF(ISNA(MATCH($A425,Team!$A$5:$A$64,0)),"Name fehlt im Blatt Team",IF(COUNTIFS($A$6:$A$605,$A425,$B$6:$B$605,"&lt;="&amp;$C425,$C$6:$C$605,"&gt;="&amp;$B425)&gt;1,"Überschneidet sich mit eigenem Wunsch",IF(OR($B425&lt;Einstellungen!$B$3,$C425&gt;Einstellungen!$B$4),"Teils außerhalb des Planungsjahres","ok"))))))</f>
        <v/>
      </c>
      <c r="J425" s="14"/>
    </row>
    <row r="426" customFormat="false" ht="15" hidden="false" customHeight="false" outlineLevel="0" collapsed="false">
      <c r="A426" s="15"/>
      <c r="B426" s="14"/>
      <c r="C426" s="14"/>
      <c r="D426" s="15"/>
      <c r="E426" s="15"/>
      <c r="F426" s="12" t="str">
        <f aca="false">IF($A426="","",IFERROR(INDEX(Team!$B$5:$B$64,MATCH($A426,Team!$A$5:$A$64,0)),"?"))</f>
        <v/>
      </c>
      <c r="G426" s="13" t="str">
        <f aca="false">IF($A426="","",COUNTIF($A$6:$A426,$A426)&amp;". Wunsch")</f>
        <v/>
      </c>
      <c r="H426" s="13" t="str">
        <f aca="false">IF(OR($A426="",$B426="",$C426="",$C426&lt;$B426),"",NETWORKDAYS($B426,$C426,Einstellungen!$N$7:$N$40))</f>
        <v/>
      </c>
      <c r="I426" s="12" t="str">
        <f aca="false">IF($A426="","",IF(OR($B426="",$C426=""),"Von und Bis eintragen",IF($C426&lt;$B426,"Bis liegt vor Von",IF(ISNA(MATCH($A426,Team!$A$5:$A$64,0)),"Name fehlt im Blatt Team",IF(COUNTIFS($A$6:$A$605,$A426,$B$6:$B$605,"&lt;="&amp;$C426,$C$6:$C$605,"&gt;="&amp;$B426)&gt;1,"Überschneidet sich mit eigenem Wunsch",IF(OR($B426&lt;Einstellungen!$B$3,$C426&gt;Einstellungen!$B$4),"Teils außerhalb des Planungsjahres","ok"))))))</f>
        <v/>
      </c>
      <c r="J426" s="14"/>
    </row>
    <row r="427" customFormat="false" ht="15" hidden="false" customHeight="false" outlineLevel="0" collapsed="false">
      <c r="A427" s="15"/>
      <c r="B427" s="14"/>
      <c r="C427" s="14"/>
      <c r="D427" s="15"/>
      <c r="E427" s="15"/>
      <c r="F427" s="12" t="str">
        <f aca="false">IF($A427="","",IFERROR(INDEX(Team!$B$5:$B$64,MATCH($A427,Team!$A$5:$A$64,0)),"?"))</f>
        <v/>
      </c>
      <c r="G427" s="13" t="str">
        <f aca="false">IF($A427="","",COUNTIF($A$6:$A427,$A427)&amp;". Wunsch")</f>
        <v/>
      </c>
      <c r="H427" s="13" t="str">
        <f aca="false">IF(OR($A427="",$B427="",$C427="",$C427&lt;$B427),"",NETWORKDAYS($B427,$C427,Einstellungen!$N$7:$N$40))</f>
        <v/>
      </c>
      <c r="I427" s="12" t="str">
        <f aca="false">IF($A427="","",IF(OR($B427="",$C427=""),"Von und Bis eintragen",IF($C427&lt;$B427,"Bis liegt vor Von",IF(ISNA(MATCH($A427,Team!$A$5:$A$64,0)),"Name fehlt im Blatt Team",IF(COUNTIFS($A$6:$A$605,$A427,$B$6:$B$605,"&lt;="&amp;$C427,$C$6:$C$605,"&gt;="&amp;$B427)&gt;1,"Überschneidet sich mit eigenem Wunsch",IF(OR($B427&lt;Einstellungen!$B$3,$C427&gt;Einstellungen!$B$4),"Teils außerhalb des Planungsjahres","ok"))))))</f>
        <v/>
      </c>
      <c r="J427" s="14"/>
    </row>
    <row r="428" customFormat="false" ht="15" hidden="false" customHeight="false" outlineLevel="0" collapsed="false">
      <c r="A428" s="15"/>
      <c r="B428" s="14"/>
      <c r="C428" s="14"/>
      <c r="D428" s="15"/>
      <c r="E428" s="15"/>
      <c r="F428" s="12" t="str">
        <f aca="false">IF($A428="","",IFERROR(INDEX(Team!$B$5:$B$64,MATCH($A428,Team!$A$5:$A$64,0)),"?"))</f>
        <v/>
      </c>
      <c r="G428" s="13" t="str">
        <f aca="false">IF($A428="","",COUNTIF($A$6:$A428,$A428)&amp;". Wunsch")</f>
        <v/>
      </c>
      <c r="H428" s="13" t="str">
        <f aca="false">IF(OR($A428="",$B428="",$C428="",$C428&lt;$B428),"",NETWORKDAYS($B428,$C428,Einstellungen!$N$7:$N$40))</f>
        <v/>
      </c>
      <c r="I428" s="12" t="str">
        <f aca="false">IF($A428="","",IF(OR($B428="",$C428=""),"Von und Bis eintragen",IF($C428&lt;$B428,"Bis liegt vor Von",IF(ISNA(MATCH($A428,Team!$A$5:$A$64,0)),"Name fehlt im Blatt Team",IF(COUNTIFS($A$6:$A$605,$A428,$B$6:$B$605,"&lt;="&amp;$C428,$C$6:$C$605,"&gt;="&amp;$B428)&gt;1,"Überschneidet sich mit eigenem Wunsch",IF(OR($B428&lt;Einstellungen!$B$3,$C428&gt;Einstellungen!$B$4),"Teils außerhalb des Planungsjahres","ok"))))))</f>
        <v/>
      </c>
      <c r="J428" s="14"/>
    </row>
    <row r="429" customFormat="false" ht="15" hidden="false" customHeight="false" outlineLevel="0" collapsed="false">
      <c r="A429" s="15"/>
      <c r="B429" s="14"/>
      <c r="C429" s="14"/>
      <c r="D429" s="15"/>
      <c r="E429" s="15"/>
      <c r="F429" s="12" t="str">
        <f aca="false">IF($A429="","",IFERROR(INDEX(Team!$B$5:$B$64,MATCH($A429,Team!$A$5:$A$64,0)),"?"))</f>
        <v/>
      </c>
      <c r="G429" s="13" t="str">
        <f aca="false">IF($A429="","",COUNTIF($A$6:$A429,$A429)&amp;". Wunsch")</f>
        <v/>
      </c>
      <c r="H429" s="13" t="str">
        <f aca="false">IF(OR($A429="",$B429="",$C429="",$C429&lt;$B429),"",NETWORKDAYS($B429,$C429,Einstellungen!$N$7:$N$40))</f>
        <v/>
      </c>
      <c r="I429" s="12" t="str">
        <f aca="false">IF($A429="","",IF(OR($B429="",$C429=""),"Von und Bis eintragen",IF($C429&lt;$B429,"Bis liegt vor Von",IF(ISNA(MATCH($A429,Team!$A$5:$A$64,0)),"Name fehlt im Blatt Team",IF(COUNTIFS($A$6:$A$605,$A429,$B$6:$B$605,"&lt;="&amp;$C429,$C$6:$C$605,"&gt;="&amp;$B429)&gt;1,"Überschneidet sich mit eigenem Wunsch",IF(OR($B429&lt;Einstellungen!$B$3,$C429&gt;Einstellungen!$B$4),"Teils außerhalb des Planungsjahres","ok"))))))</f>
        <v/>
      </c>
      <c r="J429" s="14"/>
    </row>
    <row r="430" customFormat="false" ht="15" hidden="false" customHeight="false" outlineLevel="0" collapsed="false">
      <c r="A430" s="15"/>
      <c r="B430" s="14"/>
      <c r="C430" s="14"/>
      <c r="D430" s="15"/>
      <c r="E430" s="15"/>
      <c r="F430" s="12" t="str">
        <f aca="false">IF($A430="","",IFERROR(INDEX(Team!$B$5:$B$64,MATCH($A430,Team!$A$5:$A$64,0)),"?"))</f>
        <v/>
      </c>
      <c r="G430" s="13" t="str">
        <f aca="false">IF($A430="","",COUNTIF($A$6:$A430,$A430)&amp;". Wunsch")</f>
        <v/>
      </c>
      <c r="H430" s="13" t="str">
        <f aca="false">IF(OR($A430="",$B430="",$C430="",$C430&lt;$B430),"",NETWORKDAYS($B430,$C430,Einstellungen!$N$7:$N$40))</f>
        <v/>
      </c>
      <c r="I430" s="12" t="str">
        <f aca="false">IF($A430="","",IF(OR($B430="",$C430=""),"Von und Bis eintragen",IF($C430&lt;$B430,"Bis liegt vor Von",IF(ISNA(MATCH($A430,Team!$A$5:$A$64,0)),"Name fehlt im Blatt Team",IF(COUNTIFS($A$6:$A$605,$A430,$B$6:$B$605,"&lt;="&amp;$C430,$C$6:$C$605,"&gt;="&amp;$B430)&gt;1,"Überschneidet sich mit eigenem Wunsch",IF(OR($B430&lt;Einstellungen!$B$3,$C430&gt;Einstellungen!$B$4),"Teils außerhalb des Planungsjahres","ok"))))))</f>
        <v/>
      </c>
      <c r="J430" s="14"/>
    </row>
    <row r="431" customFormat="false" ht="15" hidden="false" customHeight="false" outlineLevel="0" collapsed="false">
      <c r="A431" s="15"/>
      <c r="B431" s="14"/>
      <c r="C431" s="14"/>
      <c r="D431" s="15"/>
      <c r="E431" s="15"/>
      <c r="F431" s="12" t="str">
        <f aca="false">IF($A431="","",IFERROR(INDEX(Team!$B$5:$B$64,MATCH($A431,Team!$A$5:$A$64,0)),"?"))</f>
        <v/>
      </c>
      <c r="G431" s="13" t="str">
        <f aca="false">IF($A431="","",COUNTIF($A$6:$A431,$A431)&amp;". Wunsch")</f>
        <v/>
      </c>
      <c r="H431" s="13" t="str">
        <f aca="false">IF(OR($A431="",$B431="",$C431="",$C431&lt;$B431),"",NETWORKDAYS($B431,$C431,Einstellungen!$N$7:$N$40))</f>
        <v/>
      </c>
      <c r="I431" s="12" t="str">
        <f aca="false">IF($A431="","",IF(OR($B431="",$C431=""),"Von und Bis eintragen",IF($C431&lt;$B431,"Bis liegt vor Von",IF(ISNA(MATCH($A431,Team!$A$5:$A$64,0)),"Name fehlt im Blatt Team",IF(COUNTIFS($A$6:$A$605,$A431,$B$6:$B$605,"&lt;="&amp;$C431,$C$6:$C$605,"&gt;="&amp;$B431)&gt;1,"Überschneidet sich mit eigenem Wunsch",IF(OR($B431&lt;Einstellungen!$B$3,$C431&gt;Einstellungen!$B$4),"Teils außerhalb des Planungsjahres","ok"))))))</f>
        <v/>
      </c>
      <c r="J431" s="14"/>
    </row>
    <row r="432" customFormat="false" ht="15" hidden="false" customHeight="false" outlineLevel="0" collapsed="false">
      <c r="A432" s="15"/>
      <c r="B432" s="14"/>
      <c r="C432" s="14"/>
      <c r="D432" s="15"/>
      <c r="E432" s="15"/>
      <c r="F432" s="12" t="str">
        <f aca="false">IF($A432="","",IFERROR(INDEX(Team!$B$5:$B$64,MATCH($A432,Team!$A$5:$A$64,0)),"?"))</f>
        <v/>
      </c>
      <c r="G432" s="13" t="str">
        <f aca="false">IF($A432="","",COUNTIF($A$6:$A432,$A432)&amp;". Wunsch")</f>
        <v/>
      </c>
      <c r="H432" s="13" t="str">
        <f aca="false">IF(OR($A432="",$B432="",$C432="",$C432&lt;$B432),"",NETWORKDAYS($B432,$C432,Einstellungen!$N$7:$N$40))</f>
        <v/>
      </c>
      <c r="I432" s="12" t="str">
        <f aca="false">IF($A432="","",IF(OR($B432="",$C432=""),"Von und Bis eintragen",IF($C432&lt;$B432,"Bis liegt vor Von",IF(ISNA(MATCH($A432,Team!$A$5:$A$64,0)),"Name fehlt im Blatt Team",IF(COUNTIFS($A$6:$A$605,$A432,$B$6:$B$605,"&lt;="&amp;$C432,$C$6:$C$605,"&gt;="&amp;$B432)&gt;1,"Überschneidet sich mit eigenem Wunsch",IF(OR($B432&lt;Einstellungen!$B$3,$C432&gt;Einstellungen!$B$4),"Teils außerhalb des Planungsjahres","ok"))))))</f>
        <v/>
      </c>
      <c r="J432" s="14"/>
    </row>
    <row r="433" customFormat="false" ht="15" hidden="false" customHeight="false" outlineLevel="0" collapsed="false">
      <c r="A433" s="15"/>
      <c r="B433" s="14"/>
      <c r="C433" s="14"/>
      <c r="D433" s="15"/>
      <c r="E433" s="15"/>
      <c r="F433" s="12" t="str">
        <f aca="false">IF($A433="","",IFERROR(INDEX(Team!$B$5:$B$64,MATCH($A433,Team!$A$5:$A$64,0)),"?"))</f>
        <v/>
      </c>
      <c r="G433" s="13" t="str">
        <f aca="false">IF($A433="","",COUNTIF($A$6:$A433,$A433)&amp;". Wunsch")</f>
        <v/>
      </c>
      <c r="H433" s="13" t="str">
        <f aca="false">IF(OR($A433="",$B433="",$C433="",$C433&lt;$B433),"",NETWORKDAYS($B433,$C433,Einstellungen!$N$7:$N$40))</f>
        <v/>
      </c>
      <c r="I433" s="12" t="str">
        <f aca="false">IF($A433="","",IF(OR($B433="",$C433=""),"Von und Bis eintragen",IF($C433&lt;$B433,"Bis liegt vor Von",IF(ISNA(MATCH($A433,Team!$A$5:$A$64,0)),"Name fehlt im Blatt Team",IF(COUNTIFS($A$6:$A$605,$A433,$B$6:$B$605,"&lt;="&amp;$C433,$C$6:$C$605,"&gt;="&amp;$B433)&gt;1,"Überschneidet sich mit eigenem Wunsch",IF(OR($B433&lt;Einstellungen!$B$3,$C433&gt;Einstellungen!$B$4),"Teils außerhalb des Planungsjahres","ok"))))))</f>
        <v/>
      </c>
      <c r="J433" s="14"/>
    </row>
    <row r="434" customFormat="false" ht="15" hidden="false" customHeight="false" outlineLevel="0" collapsed="false">
      <c r="A434" s="15"/>
      <c r="B434" s="14"/>
      <c r="C434" s="14"/>
      <c r="D434" s="15"/>
      <c r="E434" s="15"/>
      <c r="F434" s="12" t="str">
        <f aca="false">IF($A434="","",IFERROR(INDEX(Team!$B$5:$B$64,MATCH($A434,Team!$A$5:$A$64,0)),"?"))</f>
        <v/>
      </c>
      <c r="G434" s="13" t="str">
        <f aca="false">IF($A434="","",COUNTIF($A$6:$A434,$A434)&amp;". Wunsch")</f>
        <v/>
      </c>
      <c r="H434" s="13" t="str">
        <f aca="false">IF(OR($A434="",$B434="",$C434="",$C434&lt;$B434),"",NETWORKDAYS($B434,$C434,Einstellungen!$N$7:$N$40))</f>
        <v/>
      </c>
      <c r="I434" s="12" t="str">
        <f aca="false">IF($A434="","",IF(OR($B434="",$C434=""),"Von und Bis eintragen",IF($C434&lt;$B434,"Bis liegt vor Von",IF(ISNA(MATCH($A434,Team!$A$5:$A$64,0)),"Name fehlt im Blatt Team",IF(COUNTIFS($A$6:$A$605,$A434,$B$6:$B$605,"&lt;="&amp;$C434,$C$6:$C$605,"&gt;="&amp;$B434)&gt;1,"Überschneidet sich mit eigenem Wunsch",IF(OR($B434&lt;Einstellungen!$B$3,$C434&gt;Einstellungen!$B$4),"Teils außerhalb des Planungsjahres","ok"))))))</f>
        <v/>
      </c>
      <c r="J434" s="14"/>
    </row>
    <row r="435" customFormat="false" ht="15" hidden="false" customHeight="false" outlineLevel="0" collapsed="false">
      <c r="A435" s="15"/>
      <c r="B435" s="14"/>
      <c r="C435" s="14"/>
      <c r="D435" s="15"/>
      <c r="E435" s="15"/>
      <c r="F435" s="12" t="str">
        <f aca="false">IF($A435="","",IFERROR(INDEX(Team!$B$5:$B$64,MATCH($A435,Team!$A$5:$A$64,0)),"?"))</f>
        <v/>
      </c>
      <c r="G435" s="13" t="str">
        <f aca="false">IF($A435="","",COUNTIF($A$6:$A435,$A435)&amp;". Wunsch")</f>
        <v/>
      </c>
      <c r="H435" s="13" t="str">
        <f aca="false">IF(OR($A435="",$B435="",$C435="",$C435&lt;$B435),"",NETWORKDAYS($B435,$C435,Einstellungen!$N$7:$N$40))</f>
        <v/>
      </c>
      <c r="I435" s="12" t="str">
        <f aca="false">IF($A435="","",IF(OR($B435="",$C435=""),"Von und Bis eintragen",IF($C435&lt;$B435,"Bis liegt vor Von",IF(ISNA(MATCH($A435,Team!$A$5:$A$64,0)),"Name fehlt im Blatt Team",IF(COUNTIFS($A$6:$A$605,$A435,$B$6:$B$605,"&lt;="&amp;$C435,$C$6:$C$605,"&gt;="&amp;$B435)&gt;1,"Überschneidet sich mit eigenem Wunsch",IF(OR($B435&lt;Einstellungen!$B$3,$C435&gt;Einstellungen!$B$4),"Teils außerhalb des Planungsjahres","ok"))))))</f>
        <v/>
      </c>
      <c r="J435" s="14"/>
    </row>
    <row r="436" customFormat="false" ht="15" hidden="false" customHeight="false" outlineLevel="0" collapsed="false">
      <c r="A436" s="15"/>
      <c r="B436" s="14"/>
      <c r="C436" s="14"/>
      <c r="D436" s="15"/>
      <c r="E436" s="15"/>
      <c r="F436" s="12" t="str">
        <f aca="false">IF($A436="","",IFERROR(INDEX(Team!$B$5:$B$64,MATCH($A436,Team!$A$5:$A$64,0)),"?"))</f>
        <v/>
      </c>
      <c r="G436" s="13" t="str">
        <f aca="false">IF($A436="","",COUNTIF($A$6:$A436,$A436)&amp;". Wunsch")</f>
        <v/>
      </c>
      <c r="H436" s="13" t="str">
        <f aca="false">IF(OR($A436="",$B436="",$C436="",$C436&lt;$B436),"",NETWORKDAYS($B436,$C436,Einstellungen!$N$7:$N$40))</f>
        <v/>
      </c>
      <c r="I436" s="12" t="str">
        <f aca="false">IF($A436="","",IF(OR($B436="",$C436=""),"Von und Bis eintragen",IF($C436&lt;$B436,"Bis liegt vor Von",IF(ISNA(MATCH($A436,Team!$A$5:$A$64,0)),"Name fehlt im Blatt Team",IF(COUNTIFS($A$6:$A$605,$A436,$B$6:$B$605,"&lt;="&amp;$C436,$C$6:$C$605,"&gt;="&amp;$B436)&gt;1,"Überschneidet sich mit eigenem Wunsch",IF(OR($B436&lt;Einstellungen!$B$3,$C436&gt;Einstellungen!$B$4),"Teils außerhalb des Planungsjahres","ok"))))))</f>
        <v/>
      </c>
      <c r="J436" s="14"/>
    </row>
    <row r="437" customFormat="false" ht="15" hidden="false" customHeight="false" outlineLevel="0" collapsed="false">
      <c r="A437" s="15"/>
      <c r="B437" s="14"/>
      <c r="C437" s="14"/>
      <c r="D437" s="15"/>
      <c r="E437" s="15"/>
      <c r="F437" s="12" t="str">
        <f aca="false">IF($A437="","",IFERROR(INDEX(Team!$B$5:$B$64,MATCH($A437,Team!$A$5:$A$64,0)),"?"))</f>
        <v/>
      </c>
      <c r="G437" s="13" t="str">
        <f aca="false">IF($A437="","",COUNTIF($A$6:$A437,$A437)&amp;". Wunsch")</f>
        <v/>
      </c>
      <c r="H437" s="13" t="str">
        <f aca="false">IF(OR($A437="",$B437="",$C437="",$C437&lt;$B437),"",NETWORKDAYS($B437,$C437,Einstellungen!$N$7:$N$40))</f>
        <v/>
      </c>
      <c r="I437" s="12" t="str">
        <f aca="false">IF($A437="","",IF(OR($B437="",$C437=""),"Von und Bis eintragen",IF($C437&lt;$B437,"Bis liegt vor Von",IF(ISNA(MATCH($A437,Team!$A$5:$A$64,0)),"Name fehlt im Blatt Team",IF(COUNTIFS($A$6:$A$605,$A437,$B$6:$B$605,"&lt;="&amp;$C437,$C$6:$C$605,"&gt;="&amp;$B437)&gt;1,"Überschneidet sich mit eigenem Wunsch",IF(OR($B437&lt;Einstellungen!$B$3,$C437&gt;Einstellungen!$B$4),"Teils außerhalb des Planungsjahres","ok"))))))</f>
        <v/>
      </c>
      <c r="J437" s="14"/>
    </row>
    <row r="438" customFormat="false" ht="15" hidden="false" customHeight="false" outlineLevel="0" collapsed="false">
      <c r="A438" s="15"/>
      <c r="B438" s="14"/>
      <c r="C438" s="14"/>
      <c r="D438" s="15"/>
      <c r="E438" s="15"/>
      <c r="F438" s="12" t="str">
        <f aca="false">IF($A438="","",IFERROR(INDEX(Team!$B$5:$B$64,MATCH($A438,Team!$A$5:$A$64,0)),"?"))</f>
        <v/>
      </c>
      <c r="G438" s="13" t="str">
        <f aca="false">IF($A438="","",COUNTIF($A$6:$A438,$A438)&amp;". Wunsch")</f>
        <v/>
      </c>
      <c r="H438" s="13" t="str">
        <f aca="false">IF(OR($A438="",$B438="",$C438="",$C438&lt;$B438),"",NETWORKDAYS($B438,$C438,Einstellungen!$N$7:$N$40))</f>
        <v/>
      </c>
      <c r="I438" s="12" t="str">
        <f aca="false">IF($A438="","",IF(OR($B438="",$C438=""),"Von und Bis eintragen",IF($C438&lt;$B438,"Bis liegt vor Von",IF(ISNA(MATCH($A438,Team!$A$5:$A$64,0)),"Name fehlt im Blatt Team",IF(COUNTIFS($A$6:$A$605,$A438,$B$6:$B$605,"&lt;="&amp;$C438,$C$6:$C$605,"&gt;="&amp;$B438)&gt;1,"Überschneidet sich mit eigenem Wunsch",IF(OR($B438&lt;Einstellungen!$B$3,$C438&gt;Einstellungen!$B$4),"Teils außerhalb des Planungsjahres","ok"))))))</f>
        <v/>
      </c>
      <c r="J438" s="14"/>
    </row>
    <row r="439" customFormat="false" ht="15" hidden="false" customHeight="false" outlineLevel="0" collapsed="false">
      <c r="A439" s="15"/>
      <c r="B439" s="14"/>
      <c r="C439" s="14"/>
      <c r="D439" s="15"/>
      <c r="E439" s="15"/>
      <c r="F439" s="12" t="str">
        <f aca="false">IF($A439="","",IFERROR(INDEX(Team!$B$5:$B$64,MATCH($A439,Team!$A$5:$A$64,0)),"?"))</f>
        <v/>
      </c>
      <c r="G439" s="13" t="str">
        <f aca="false">IF($A439="","",COUNTIF($A$6:$A439,$A439)&amp;". Wunsch")</f>
        <v/>
      </c>
      <c r="H439" s="13" t="str">
        <f aca="false">IF(OR($A439="",$B439="",$C439="",$C439&lt;$B439),"",NETWORKDAYS($B439,$C439,Einstellungen!$N$7:$N$40))</f>
        <v/>
      </c>
      <c r="I439" s="12" t="str">
        <f aca="false">IF($A439="","",IF(OR($B439="",$C439=""),"Von und Bis eintragen",IF($C439&lt;$B439,"Bis liegt vor Von",IF(ISNA(MATCH($A439,Team!$A$5:$A$64,0)),"Name fehlt im Blatt Team",IF(COUNTIFS($A$6:$A$605,$A439,$B$6:$B$605,"&lt;="&amp;$C439,$C$6:$C$605,"&gt;="&amp;$B439)&gt;1,"Überschneidet sich mit eigenem Wunsch",IF(OR($B439&lt;Einstellungen!$B$3,$C439&gt;Einstellungen!$B$4),"Teils außerhalb des Planungsjahres","ok"))))))</f>
        <v/>
      </c>
      <c r="J439" s="14"/>
    </row>
    <row r="440" customFormat="false" ht="15" hidden="false" customHeight="false" outlineLevel="0" collapsed="false">
      <c r="A440" s="15"/>
      <c r="B440" s="14"/>
      <c r="C440" s="14"/>
      <c r="D440" s="15"/>
      <c r="E440" s="15"/>
      <c r="F440" s="12" t="str">
        <f aca="false">IF($A440="","",IFERROR(INDEX(Team!$B$5:$B$64,MATCH($A440,Team!$A$5:$A$64,0)),"?"))</f>
        <v/>
      </c>
      <c r="G440" s="13" t="str">
        <f aca="false">IF($A440="","",COUNTIF($A$6:$A440,$A440)&amp;". Wunsch")</f>
        <v/>
      </c>
      <c r="H440" s="13" t="str">
        <f aca="false">IF(OR($A440="",$B440="",$C440="",$C440&lt;$B440),"",NETWORKDAYS($B440,$C440,Einstellungen!$N$7:$N$40))</f>
        <v/>
      </c>
      <c r="I440" s="12" t="str">
        <f aca="false">IF($A440="","",IF(OR($B440="",$C440=""),"Von und Bis eintragen",IF($C440&lt;$B440,"Bis liegt vor Von",IF(ISNA(MATCH($A440,Team!$A$5:$A$64,0)),"Name fehlt im Blatt Team",IF(COUNTIFS($A$6:$A$605,$A440,$B$6:$B$605,"&lt;="&amp;$C440,$C$6:$C$605,"&gt;="&amp;$B440)&gt;1,"Überschneidet sich mit eigenem Wunsch",IF(OR($B440&lt;Einstellungen!$B$3,$C440&gt;Einstellungen!$B$4),"Teils außerhalb des Planungsjahres","ok"))))))</f>
        <v/>
      </c>
      <c r="J440" s="14"/>
    </row>
    <row r="441" customFormat="false" ht="15" hidden="false" customHeight="false" outlineLevel="0" collapsed="false">
      <c r="A441" s="15"/>
      <c r="B441" s="14"/>
      <c r="C441" s="14"/>
      <c r="D441" s="15"/>
      <c r="E441" s="15"/>
      <c r="F441" s="12" t="str">
        <f aca="false">IF($A441="","",IFERROR(INDEX(Team!$B$5:$B$64,MATCH($A441,Team!$A$5:$A$64,0)),"?"))</f>
        <v/>
      </c>
      <c r="G441" s="13" t="str">
        <f aca="false">IF($A441="","",COUNTIF($A$6:$A441,$A441)&amp;". Wunsch")</f>
        <v/>
      </c>
      <c r="H441" s="13" t="str">
        <f aca="false">IF(OR($A441="",$B441="",$C441="",$C441&lt;$B441),"",NETWORKDAYS($B441,$C441,Einstellungen!$N$7:$N$40))</f>
        <v/>
      </c>
      <c r="I441" s="12" t="str">
        <f aca="false">IF($A441="","",IF(OR($B441="",$C441=""),"Von und Bis eintragen",IF($C441&lt;$B441,"Bis liegt vor Von",IF(ISNA(MATCH($A441,Team!$A$5:$A$64,0)),"Name fehlt im Blatt Team",IF(COUNTIFS($A$6:$A$605,$A441,$B$6:$B$605,"&lt;="&amp;$C441,$C$6:$C$605,"&gt;="&amp;$B441)&gt;1,"Überschneidet sich mit eigenem Wunsch",IF(OR($B441&lt;Einstellungen!$B$3,$C441&gt;Einstellungen!$B$4),"Teils außerhalb des Planungsjahres","ok"))))))</f>
        <v/>
      </c>
      <c r="J441" s="14"/>
    </row>
    <row r="442" customFormat="false" ht="15" hidden="false" customHeight="false" outlineLevel="0" collapsed="false">
      <c r="A442" s="15"/>
      <c r="B442" s="14"/>
      <c r="C442" s="14"/>
      <c r="D442" s="15"/>
      <c r="E442" s="15"/>
      <c r="F442" s="12" t="str">
        <f aca="false">IF($A442="","",IFERROR(INDEX(Team!$B$5:$B$64,MATCH($A442,Team!$A$5:$A$64,0)),"?"))</f>
        <v/>
      </c>
      <c r="G442" s="13" t="str">
        <f aca="false">IF($A442="","",COUNTIF($A$6:$A442,$A442)&amp;". Wunsch")</f>
        <v/>
      </c>
      <c r="H442" s="13" t="str">
        <f aca="false">IF(OR($A442="",$B442="",$C442="",$C442&lt;$B442),"",NETWORKDAYS($B442,$C442,Einstellungen!$N$7:$N$40))</f>
        <v/>
      </c>
      <c r="I442" s="12" t="str">
        <f aca="false">IF($A442="","",IF(OR($B442="",$C442=""),"Von und Bis eintragen",IF($C442&lt;$B442,"Bis liegt vor Von",IF(ISNA(MATCH($A442,Team!$A$5:$A$64,0)),"Name fehlt im Blatt Team",IF(COUNTIFS($A$6:$A$605,$A442,$B$6:$B$605,"&lt;="&amp;$C442,$C$6:$C$605,"&gt;="&amp;$B442)&gt;1,"Überschneidet sich mit eigenem Wunsch",IF(OR($B442&lt;Einstellungen!$B$3,$C442&gt;Einstellungen!$B$4),"Teils außerhalb des Planungsjahres","ok"))))))</f>
        <v/>
      </c>
      <c r="J442" s="14"/>
    </row>
    <row r="443" customFormat="false" ht="15" hidden="false" customHeight="false" outlineLevel="0" collapsed="false">
      <c r="A443" s="15"/>
      <c r="B443" s="14"/>
      <c r="C443" s="14"/>
      <c r="D443" s="15"/>
      <c r="E443" s="15"/>
      <c r="F443" s="12" t="str">
        <f aca="false">IF($A443="","",IFERROR(INDEX(Team!$B$5:$B$64,MATCH($A443,Team!$A$5:$A$64,0)),"?"))</f>
        <v/>
      </c>
      <c r="G443" s="13" t="str">
        <f aca="false">IF($A443="","",COUNTIF($A$6:$A443,$A443)&amp;". Wunsch")</f>
        <v/>
      </c>
      <c r="H443" s="13" t="str">
        <f aca="false">IF(OR($A443="",$B443="",$C443="",$C443&lt;$B443),"",NETWORKDAYS($B443,$C443,Einstellungen!$N$7:$N$40))</f>
        <v/>
      </c>
      <c r="I443" s="12" t="str">
        <f aca="false">IF($A443="","",IF(OR($B443="",$C443=""),"Von und Bis eintragen",IF($C443&lt;$B443,"Bis liegt vor Von",IF(ISNA(MATCH($A443,Team!$A$5:$A$64,0)),"Name fehlt im Blatt Team",IF(COUNTIFS($A$6:$A$605,$A443,$B$6:$B$605,"&lt;="&amp;$C443,$C$6:$C$605,"&gt;="&amp;$B443)&gt;1,"Überschneidet sich mit eigenem Wunsch",IF(OR($B443&lt;Einstellungen!$B$3,$C443&gt;Einstellungen!$B$4),"Teils außerhalb des Planungsjahres","ok"))))))</f>
        <v/>
      </c>
      <c r="J443" s="14"/>
    </row>
    <row r="444" customFormat="false" ht="15" hidden="false" customHeight="false" outlineLevel="0" collapsed="false">
      <c r="A444" s="15"/>
      <c r="B444" s="14"/>
      <c r="C444" s="14"/>
      <c r="D444" s="15"/>
      <c r="E444" s="15"/>
      <c r="F444" s="12" t="str">
        <f aca="false">IF($A444="","",IFERROR(INDEX(Team!$B$5:$B$64,MATCH($A444,Team!$A$5:$A$64,0)),"?"))</f>
        <v/>
      </c>
      <c r="G444" s="13" t="str">
        <f aca="false">IF($A444="","",COUNTIF($A$6:$A444,$A444)&amp;". Wunsch")</f>
        <v/>
      </c>
      <c r="H444" s="13" t="str">
        <f aca="false">IF(OR($A444="",$B444="",$C444="",$C444&lt;$B444),"",NETWORKDAYS($B444,$C444,Einstellungen!$N$7:$N$40))</f>
        <v/>
      </c>
      <c r="I444" s="12" t="str">
        <f aca="false">IF($A444="","",IF(OR($B444="",$C444=""),"Von und Bis eintragen",IF($C444&lt;$B444,"Bis liegt vor Von",IF(ISNA(MATCH($A444,Team!$A$5:$A$64,0)),"Name fehlt im Blatt Team",IF(COUNTIFS($A$6:$A$605,$A444,$B$6:$B$605,"&lt;="&amp;$C444,$C$6:$C$605,"&gt;="&amp;$B444)&gt;1,"Überschneidet sich mit eigenem Wunsch",IF(OR($B444&lt;Einstellungen!$B$3,$C444&gt;Einstellungen!$B$4),"Teils außerhalb des Planungsjahres","ok"))))))</f>
        <v/>
      </c>
      <c r="J444" s="14"/>
    </row>
    <row r="445" customFormat="false" ht="15" hidden="false" customHeight="false" outlineLevel="0" collapsed="false">
      <c r="A445" s="15"/>
      <c r="B445" s="14"/>
      <c r="C445" s="14"/>
      <c r="D445" s="15"/>
      <c r="E445" s="15"/>
      <c r="F445" s="12" t="str">
        <f aca="false">IF($A445="","",IFERROR(INDEX(Team!$B$5:$B$64,MATCH($A445,Team!$A$5:$A$64,0)),"?"))</f>
        <v/>
      </c>
      <c r="G445" s="13" t="str">
        <f aca="false">IF($A445="","",COUNTIF($A$6:$A445,$A445)&amp;". Wunsch")</f>
        <v/>
      </c>
      <c r="H445" s="13" t="str">
        <f aca="false">IF(OR($A445="",$B445="",$C445="",$C445&lt;$B445),"",NETWORKDAYS($B445,$C445,Einstellungen!$N$7:$N$40))</f>
        <v/>
      </c>
      <c r="I445" s="12" t="str">
        <f aca="false">IF($A445="","",IF(OR($B445="",$C445=""),"Von und Bis eintragen",IF($C445&lt;$B445,"Bis liegt vor Von",IF(ISNA(MATCH($A445,Team!$A$5:$A$64,0)),"Name fehlt im Blatt Team",IF(COUNTIFS($A$6:$A$605,$A445,$B$6:$B$605,"&lt;="&amp;$C445,$C$6:$C$605,"&gt;="&amp;$B445)&gt;1,"Überschneidet sich mit eigenem Wunsch",IF(OR($B445&lt;Einstellungen!$B$3,$C445&gt;Einstellungen!$B$4),"Teils außerhalb des Planungsjahres","ok"))))))</f>
        <v/>
      </c>
      <c r="J445" s="14"/>
    </row>
    <row r="446" customFormat="false" ht="15" hidden="false" customHeight="false" outlineLevel="0" collapsed="false">
      <c r="A446" s="15"/>
      <c r="B446" s="14"/>
      <c r="C446" s="14"/>
      <c r="D446" s="15"/>
      <c r="E446" s="15"/>
      <c r="F446" s="12" t="str">
        <f aca="false">IF($A446="","",IFERROR(INDEX(Team!$B$5:$B$64,MATCH($A446,Team!$A$5:$A$64,0)),"?"))</f>
        <v/>
      </c>
      <c r="G446" s="13" t="str">
        <f aca="false">IF($A446="","",COUNTIF($A$6:$A446,$A446)&amp;". Wunsch")</f>
        <v/>
      </c>
      <c r="H446" s="13" t="str">
        <f aca="false">IF(OR($A446="",$B446="",$C446="",$C446&lt;$B446),"",NETWORKDAYS($B446,$C446,Einstellungen!$N$7:$N$40))</f>
        <v/>
      </c>
      <c r="I446" s="12" t="str">
        <f aca="false">IF($A446="","",IF(OR($B446="",$C446=""),"Von und Bis eintragen",IF($C446&lt;$B446,"Bis liegt vor Von",IF(ISNA(MATCH($A446,Team!$A$5:$A$64,0)),"Name fehlt im Blatt Team",IF(COUNTIFS($A$6:$A$605,$A446,$B$6:$B$605,"&lt;="&amp;$C446,$C$6:$C$605,"&gt;="&amp;$B446)&gt;1,"Überschneidet sich mit eigenem Wunsch",IF(OR($B446&lt;Einstellungen!$B$3,$C446&gt;Einstellungen!$B$4),"Teils außerhalb des Planungsjahres","ok"))))))</f>
        <v/>
      </c>
      <c r="J446" s="14"/>
    </row>
    <row r="447" customFormat="false" ht="15" hidden="false" customHeight="false" outlineLevel="0" collapsed="false">
      <c r="A447" s="15"/>
      <c r="B447" s="14"/>
      <c r="C447" s="14"/>
      <c r="D447" s="15"/>
      <c r="E447" s="15"/>
      <c r="F447" s="12" t="str">
        <f aca="false">IF($A447="","",IFERROR(INDEX(Team!$B$5:$B$64,MATCH($A447,Team!$A$5:$A$64,0)),"?"))</f>
        <v/>
      </c>
      <c r="G447" s="13" t="str">
        <f aca="false">IF($A447="","",COUNTIF($A$6:$A447,$A447)&amp;". Wunsch")</f>
        <v/>
      </c>
      <c r="H447" s="13" t="str">
        <f aca="false">IF(OR($A447="",$B447="",$C447="",$C447&lt;$B447),"",NETWORKDAYS($B447,$C447,Einstellungen!$N$7:$N$40))</f>
        <v/>
      </c>
      <c r="I447" s="12" t="str">
        <f aca="false">IF($A447="","",IF(OR($B447="",$C447=""),"Von und Bis eintragen",IF($C447&lt;$B447,"Bis liegt vor Von",IF(ISNA(MATCH($A447,Team!$A$5:$A$64,0)),"Name fehlt im Blatt Team",IF(COUNTIFS($A$6:$A$605,$A447,$B$6:$B$605,"&lt;="&amp;$C447,$C$6:$C$605,"&gt;="&amp;$B447)&gt;1,"Überschneidet sich mit eigenem Wunsch",IF(OR($B447&lt;Einstellungen!$B$3,$C447&gt;Einstellungen!$B$4),"Teils außerhalb des Planungsjahres","ok"))))))</f>
        <v/>
      </c>
      <c r="J447" s="14"/>
    </row>
    <row r="448" customFormat="false" ht="15" hidden="false" customHeight="false" outlineLevel="0" collapsed="false">
      <c r="A448" s="15"/>
      <c r="B448" s="14"/>
      <c r="C448" s="14"/>
      <c r="D448" s="15"/>
      <c r="E448" s="15"/>
      <c r="F448" s="12" t="str">
        <f aca="false">IF($A448="","",IFERROR(INDEX(Team!$B$5:$B$64,MATCH($A448,Team!$A$5:$A$64,0)),"?"))</f>
        <v/>
      </c>
      <c r="G448" s="13" t="str">
        <f aca="false">IF($A448="","",COUNTIF($A$6:$A448,$A448)&amp;". Wunsch")</f>
        <v/>
      </c>
      <c r="H448" s="13" t="str">
        <f aca="false">IF(OR($A448="",$B448="",$C448="",$C448&lt;$B448),"",NETWORKDAYS($B448,$C448,Einstellungen!$N$7:$N$40))</f>
        <v/>
      </c>
      <c r="I448" s="12" t="str">
        <f aca="false">IF($A448="","",IF(OR($B448="",$C448=""),"Von und Bis eintragen",IF($C448&lt;$B448,"Bis liegt vor Von",IF(ISNA(MATCH($A448,Team!$A$5:$A$64,0)),"Name fehlt im Blatt Team",IF(COUNTIFS($A$6:$A$605,$A448,$B$6:$B$605,"&lt;="&amp;$C448,$C$6:$C$605,"&gt;="&amp;$B448)&gt;1,"Überschneidet sich mit eigenem Wunsch",IF(OR($B448&lt;Einstellungen!$B$3,$C448&gt;Einstellungen!$B$4),"Teils außerhalb des Planungsjahres","ok"))))))</f>
        <v/>
      </c>
      <c r="J448" s="14"/>
    </row>
    <row r="449" customFormat="false" ht="15" hidden="false" customHeight="false" outlineLevel="0" collapsed="false">
      <c r="A449" s="15"/>
      <c r="B449" s="14"/>
      <c r="C449" s="14"/>
      <c r="D449" s="15"/>
      <c r="E449" s="15"/>
      <c r="F449" s="12" t="str">
        <f aca="false">IF($A449="","",IFERROR(INDEX(Team!$B$5:$B$64,MATCH($A449,Team!$A$5:$A$64,0)),"?"))</f>
        <v/>
      </c>
      <c r="G449" s="13" t="str">
        <f aca="false">IF($A449="","",COUNTIF($A$6:$A449,$A449)&amp;". Wunsch")</f>
        <v/>
      </c>
      <c r="H449" s="13" t="str">
        <f aca="false">IF(OR($A449="",$B449="",$C449="",$C449&lt;$B449),"",NETWORKDAYS($B449,$C449,Einstellungen!$N$7:$N$40))</f>
        <v/>
      </c>
      <c r="I449" s="12" t="str">
        <f aca="false">IF($A449="","",IF(OR($B449="",$C449=""),"Von und Bis eintragen",IF($C449&lt;$B449,"Bis liegt vor Von",IF(ISNA(MATCH($A449,Team!$A$5:$A$64,0)),"Name fehlt im Blatt Team",IF(COUNTIFS($A$6:$A$605,$A449,$B$6:$B$605,"&lt;="&amp;$C449,$C$6:$C$605,"&gt;="&amp;$B449)&gt;1,"Überschneidet sich mit eigenem Wunsch",IF(OR($B449&lt;Einstellungen!$B$3,$C449&gt;Einstellungen!$B$4),"Teils außerhalb des Planungsjahres","ok"))))))</f>
        <v/>
      </c>
      <c r="J449" s="14"/>
    </row>
    <row r="450" customFormat="false" ht="15" hidden="false" customHeight="false" outlineLevel="0" collapsed="false">
      <c r="A450" s="15"/>
      <c r="B450" s="14"/>
      <c r="C450" s="14"/>
      <c r="D450" s="15"/>
      <c r="E450" s="15"/>
      <c r="F450" s="12" t="str">
        <f aca="false">IF($A450="","",IFERROR(INDEX(Team!$B$5:$B$64,MATCH($A450,Team!$A$5:$A$64,0)),"?"))</f>
        <v/>
      </c>
      <c r="G450" s="13" t="str">
        <f aca="false">IF($A450="","",COUNTIF($A$6:$A450,$A450)&amp;". Wunsch")</f>
        <v/>
      </c>
      <c r="H450" s="13" t="str">
        <f aca="false">IF(OR($A450="",$B450="",$C450="",$C450&lt;$B450),"",NETWORKDAYS($B450,$C450,Einstellungen!$N$7:$N$40))</f>
        <v/>
      </c>
      <c r="I450" s="12" t="str">
        <f aca="false">IF($A450="","",IF(OR($B450="",$C450=""),"Von und Bis eintragen",IF($C450&lt;$B450,"Bis liegt vor Von",IF(ISNA(MATCH($A450,Team!$A$5:$A$64,0)),"Name fehlt im Blatt Team",IF(COUNTIFS($A$6:$A$605,$A450,$B$6:$B$605,"&lt;="&amp;$C450,$C$6:$C$605,"&gt;="&amp;$B450)&gt;1,"Überschneidet sich mit eigenem Wunsch",IF(OR($B450&lt;Einstellungen!$B$3,$C450&gt;Einstellungen!$B$4),"Teils außerhalb des Planungsjahres","ok"))))))</f>
        <v/>
      </c>
      <c r="J450" s="14"/>
    </row>
    <row r="451" customFormat="false" ht="15" hidden="false" customHeight="false" outlineLevel="0" collapsed="false">
      <c r="A451" s="15"/>
      <c r="B451" s="14"/>
      <c r="C451" s="14"/>
      <c r="D451" s="15"/>
      <c r="E451" s="15"/>
      <c r="F451" s="12" t="str">
        <f aca="false">IF($A451="","",IFERROR(INDEX(Team!$B$5:$B$64,MATCH($A451,Team!$A$5:$A$64,0)),"?"))</f>
        <v/>
      </c>
      <c r="G451" s="13" t="str">
        <f aca="false">IF($A451="","",COUNTIF($A$6:$A451,$A451)&amp;". Wunsch")</f>
        <v/>
      </c>
      <c r="H451" s="13" t="str">
        <f aca="false">IF(OR($A451="",$B451="",$C451="",$C451&lt;$B451),"",NETWORKDAYS($B451,$C451,Einstellungen!$N$7:$N$40))</f>
        <v/>
      </c>
      <c r="I451" s="12" t="str">
        <f aca="false">IF($A451="","",IF(OR($B451="",$C451=""),"Von und Bis eintragen",IF($C451&lt;$B451,"Bis liegt vor Von",IF(ISNA(MATCH($A451,Team!$A$5:$A$64,0)),"Name fehlt im Blatt Team",IF(COUNTIFS($A$6:$A$605,$A451,$B$6:$B$605,"&lt;="&amp;$C451,$C$6:$C$605,"&gt;="&amp;$B451)&gt;1,"Überschneidet sich mit eigenem Wunsch",IF(OR($B451&lt;Einstellungen!$B$3,$C451&gt;Einstellungen!$B$4),"Teils außerhalb des Planungsjahres","ok"))))))</f>
        <v/>
      </c>
      <c r="J451" s="14"/>
    </row>
    <row r="452" customFormat="false" ht="15" hidden="false" customHeight="false" outlineLevel="0" collapsed="false">
      <c r="A452" s="15"/>
      <c r="B452" s="14"/>
      <c r="C452" s="14"/>
      <c r="D452" s="15"/>
      <c r="E452" s="15"/>
      <c r="F452" s="12" t="str">
        <f aca="false">IF($A452="","",IFERROR(INDEX(Team!$B$5:$B$64,MATCH($A452,Team!$A$5:$A$64,0)),"?"))</f>
        <v/>
      </c>
      <c r="G452" s="13" t="str">
        <f aca="false">IF($A452="","",COUNTIF($A$6:$A452,$A452)&amp;". Wunsch")</f>
        <v/>
      </c>
      <c r="H452" s="13" t="str">
        <f aca="false">IF(OR($A452="",$B452="",$C452="",$C452&lt;$B452),"",NETWORKDAYS($B452,$C452,Einstellungen!$N$7:$N$40))</f>
        <v/>
      </c>
      <c r="I452" s="12" t="str">
        <f aca="false">IF($A452="","",IF(OR($B452="",$C452=""),"Von und Bis eintragen",IF($C452&lt;$B452,"Bis liegt vor Von",IF(ISNA(MATCH($A452,Team!$A$5:$A$64,0)),"Name fehlt im Blatt Team",IF(COUNTIFS($A$6:$A$605,$A452,$B$6:$B$605,"&lt;="&amp;$C452,$C$6:$C$605,"&gt;="&amp;$B452)&gt;1,"Überschneidet sich mit eigenem Wunsch",IF(OR($B452&lt;Einstellungen!$B$3,$C452&gt;Einstellungen!$B$4),"Teils außerhalb des Planungsjahres","ok"))))))</f>
        <v/>
      </c>
      <c r="J452" s="14"/>
    </row>
    <row r="453" customFormat="false" ht="15" hidden="false" customHeight="false" outlineLevel="0" collapsed="false">
      <c r="A453" s="15"/>
      <c r="B453" s="14"/>
      <c r="C453" s="14"/>
      <c r="D453" s="15"/>
      <c r="E453" s="15"/>
      <c r="F453" s="12" t="str">
        <f aca="false">IF($A453="","",IFERROR(INDEX(Team!$B$5:$B$64,MATCH($A453,Team!$A$5:$A$64,0)),"?"))</f>
        <v/>
      </c>
      <c r="G453" s="13" t="str">
        <f aca="false">IF($A453="","",COUNTIF($A$6:$A453,$A453)&amp;". Wunsch")</f>
        <v/>
      </c>
      <c r="H453" s="13" t="str">
        <f aca="false">IF(OR($A453="",$B453="",$C453="",$C453&lt;$B453),"",NETWORKDAYS($B453,$C453,Einstellungen!$N$7:$N$40))</f>
        <v/>
      </c>
      <c r="I453" s="12" t="str">
        <f aca="false">IF($A453="","",IF(OR($B453="",$C453=""),"Von und Bis eintragen",IF($C453&lt;$B453,"Bis liegt vor Von",IF(ISNA(MATCH($A453,Team!$A$5:$A$64,0)),"Name fehlt im Blatt Team",IF(COUNTIFS($A$6:$A$605,$A453,$B$6:$B$605,"&lt;="&amp;$C453,$C$6:$C$605,"&gt;="&amp;$B453)&gt;1,"Überschneidet sich mit eigenem Wunsch",IF(OR($B453&lt;Einstellungen!$B$3,$C453&gt;Einstellungen!$B$4),"Teils außerhalb des Planungsjahres","ok"))))))</f>
        <v/>
      </c>
      <c r="J453" s="14"/>
    </row>
    <row r="454" customFormat="false" ht="15" hidden="false" customHeight="false" outlineLevel="0" collapsed="false">
      <c r="A454" s="15"/>
      <c r="B454" s="14"/>
      <c r="C454" s="14"/>
      <c r="D454" s="15"/>
      <c r="E454" s="15"/>
      <c r="F454" s="12" t="str">
        <f aca="false">IF($A454="","",IFERROR(INDEX(Team!$B$5:$B$64,MATCH($A454,Team!$A$5:$A$64,0)),"?"))</f>
        <v/>
      </c>
      <c r="G454" s="13" t="str">
        <f aca="false">IF($A454="","",COUNTIF($A$6:$A454,$A454)&amp;". Wunsch")</f>
        <v/>
      </c>
      <c r="H454" s="13" t="str">
        <f aca="false">IF(OR($A454="",$B454="",$C454="",$C454&lt;$B454),"",NETWORKDAYS($B454,$C454,Einstellungen!$N$7:$N$40))</f>
        <v/>
      </c>
      <c r="I454" s="12" t="str">
        <f aca="false">IF($A454="","",IF(OR($B454="",$C454=""),"Von und Bis eintragen",IF($C454&lt;$B454,"Bis liegt vor Von",IF(ISNA(MATCH($A454,Team!$A$5:$A$64,0)),"Name fehlt im Blatt Team",IF(COUNTIFS($A$6:$A$605,$A454,$B$6:$B$605,"&lt;="&amp;$C454,$C$6:$C$605,"&gt;="&amp;$B454)&gt;1,"Überschneidet sich mit eigenem Wunsch",IF(OR($B454&lt;Einstellungen!$B$3,$C454&gt;Einstellungen!$B$4),"Teils außerhalb des Planungsjahres","ok"))))))</f>
        <v/>
      </c>
      <c r="J454" s="14"/>
    </row>
    <row r="455" customFormat="false" ht="15" hidden="false" customHeight="false" outlineLevel="0" collapsed="false">
      <c r="A455" s="15"/>
      <c r="B455" s="14"/>
      <c r="C455" s="14"/>
      <c r="D455" s="15"/>
      <c r="E455" s="15"/>
      <c r="F455" s="12" t="str">
        <f aca="false">IF($A455="","",IFERROR(INDEX(Team!$B$5:$B$64,MATCH($A455,Team!$A$5:$A$64,0)),"?"))</f>
        <v/>
      </c>
      <c r="G455" s="13" t="str">
        <f aca="false">IF($A455="","",COUNTIF($A$6:$A455,$A455)&amp;". Wunsch")</f>
        <v/>
      </c>
      <c r="H455" s="13" t="str">
        <f aca="false">IF(OR($A455="",$B455="",$C455="",$C455&lt;$B455),"",NETWORKDAYS($B455,$C455,Einstellungen!$N$7:$N$40))</f>
        <v/>
      </c>
      <c r="I455" s="12" t="str">
        <f aca="false">IF($A455="","",IF(OR($B455="",$C455=""),"Von und Bis eintragen",IF($C455&lt;$B455,"Bis liegt vor Von",IF(ISNA(MATCH($A455,Team!$A$5:$A$64,0)),"Name fehlt im Blatt Team",IF(COUNTIFS($A$6:$A$605,$A455,$B$6:$B$605,"&lt;="&amp;$C455,$C$6:$C$605,"&gt;="&amp;$B455)&gt;1,"Überschneidet sich mit eigenem Wunsch",IF(OR($B455&lt;Einstellungen!$B$3,$C455&gt;Einstellungen!$B$4),"Teils außerhalb des Planungsjahres","ok"))))))</f>
        <v/>
      </c>
      <c r="J455" s="14"/>
    </row>
    <row r="456" customFormat="false" ht="15" hidden="false" customHeight="false" outlineLevel="0" collapsed="false">
      <c r="A456" s="15"/>
      <c r="B456" s="14"/>
      <c r="C456" s="14"/>
      <c r="D456" s="15"/>
      <c r="E456" s="15"/>
      <c r="F456" s="12" t="str">
        <f aca="false">IF($A456="","",IFERROR(INDEX(Team!$B$5:$B$64,MATCH($A456,Team!$A$5:$A$64,0)),"?"))</f>
        <v/>
      </c>
      <c r="G456" s="13" t="str">
        <f aca="false">IF($A456="","",COUNTIF($A$6:$A456,$A456)&amp;". Wunsch")</f>
        <v/>
      </c>
      <c r="H456" s="13" t="str">
        <f aca="false">IF(OR($A456="",$B456="",$C456="",$C456&lt;$B456),"",NETWORKDAYS($B456,$C456,Einstellungen!$N$7:$N$40))</f>
        <v/>
      </c>
      <c r="I456" s="12" t="str">
        <f aca="false">IF($A456="","",IF(OR($B456="",$C456=""),"Von und Bis eintragen",IF($C456&lt;$B456,"Bis liegt vor Von",IF(ISNA(MATCH($A456,Team!$A$5:$A$64,0)),"Name fehlt im Blatt Team",IF(COUNTIFS($A$6:$A$605,$A456,$B$6:$B$605,"&lt;="&amp;$C456,$C$6:$C$605,"&gt;="&amp;$B456)&gt;1,"Überschneidet sich mit eigenem Wunsch",IF(OR($B456&lt;Einstellungen!$B$3,$C456&gt;Einstellungen!$B$4),"Teils außerhalb des Planungsjahres","ok"))))))</f>
        <v/>
      </c>
      <c r="J456" s="14"/>
    </row>
    <row r="457" customFormat="false" ht="15" hidden="false" customHeight="false" outlineLevel="0" collapsed="false">
      <c r="A457" s="15"/>
      <c r="B457" s="14"/>
      <c r="C457" s="14"/>
      <c r="D457" s="15"/>
      <c r="E457" s="15"/>
      <c r="F457" s="12" t="str">
        <f aca="false">IF($A457="","",IFERROR(INDEX(Team!$B$5:$B$64,MATCH($A457,Team!$A$5:$A$64,0)),"?"))</f>
        <v/>
      </c>
      <c r="G457" s="13" t="str">
        <f aca="false">IF($A457="","",COUNTIF($A$6:$A457,$A457)&amp;". Wunsch")</f>
        <v/>
      </c>
      <c r="H457" s="13" t="str">
        <f aca="false">IF(OR($A457="",$B457="",$C457="",$C457&lt;$B457),"",NETWORKDAYS($B457,$C457,Einstellungen!$N$7:$N$40))</f>
        <v/>
      </c>
      <c r="I457" s="12" t="str">
        <f aca="false">IF($A457="","",IF(OR($B457="",$C457=""),"Von und Bis eintragen",IF($C457&lt;$B457,"Bis liegt vor Von",IF(ISNA(MATCH($A457,Team!$A$5:$A$64,0)),"Name fehlt im Blatt Team",IF(COUNTIFS($A$6:$A$605,$A457,$B$6:$B$605,"&lt;="&amp;$C457,$C$6:$C$605,"&gt;="&amp;$B457)&gt;1,"Überschneidet sich mit eigenem Wunsch",IF(OR($B457&lt;Einstellungen!$B$3,$C457&gt;Einstellungen!$B$4),"Teils außerhalb des Planungsjahres","ok"))))))</f>
        <v/>
      </c>
      <c r="J457" s="14"/>
    </row>
    <row r="458" customFormat="false" ht="15" hidden="false" customHeight="false" outlineLevel="0" collapsed="false">
      <c r="A458" s="15"/>
      <c r="B458" s="14"/>
      <c r="C458" s="14"/>
      <c r="D458" s="15"/>
      <c r="E458" s="15"/>
      <c r="F458" s="12" t="str">
        <f aca="false">IF($A458="","",IFERROR(INDEX(Team!$B$5:$B$64,MATCH($A458,Team!$A$5:$A$64,0)),"?"))</f>
        <v/>
      </c>
      <c r="G458" s="13" t="str">
        <f aca="false">IF($A458="","",COUNTIF($A$6:$A458,$A458)&amp;". Wunsch")</f>
        <v/>
      </c>
      <c r="H458" s="13" t="str">
        <f aca="false">IF(OR($A458="",$B458="",$C458="",$C458&lt;$B458),"",NETWORKDAYS($B458,$C458,Einstellungen!$N$7:$N$40))</f>
        <v/>
      </c>
      <c r="I458" s="12" t="str">
        <f aca="false">IF($A458="","",IF(OR($B458="",$C458=""),"Von und Bis eintragen",IF($C458&lt;$B458,"Bis liegt vor Von",IF(ISNA(MATCH($A458,Team!$A$5:$A$64,0)),"Name fehlt im Blatt Team",IF(COUNTIFS($A$6:$A$605,$A458,$B$6:$B$605,"&lt;="&amp;$C458,$C$6:$C$605,"&gt;="&amp;$B458)&gt;1,"Überschneidet sich mit eigenem Wunsch",IF(OR($B458&lt;Einstellungen!$B$3,$C458&gt;Einstellungen!$B$4),"Teils außerhalb des Planungsjahres","ok"))))))</f>
        <v/>
      </c>
      <c r="J458" s="14"/>
    </row>
    <row r="459" customFormat="false" ht="15" hidden="false" customHeight="false" outlineLevel="0" collapsed="false">
      <c r="A459" s="15"/>
      <c r="B459" s="14"/>
      <c r="C459" s="14"/>
      <c r="D459" s="15"/>
      <c r="E459" s="15"/>
      <c r="F459" s="12" t="str">
        <f aca="false">IF($A459="","",IFERROR(INDEX(Team!$B$5:$B$64,MATCH($A459,Team!$A$5:$A$64,0)),"?"))</f>
        <v/>
      </c>
      <c r="G459" s="13" t="str">
        <f aca="false">IF($A459="","",COUNTIF($A$6:$A459,$A459)&amp;". Wunsch")</f>
        <v/>
      </c>
      <c r="H459" s="13" t="str">
        <f aca="false">IF(OR($A459="",$B459="",$C459="",$C459&lt;$B459),"",NETWORKDAYS($B459,$C459,Einstellungen!$N$7:$N$40))</f>
        <v/>
      </c>
      <c r="I459" s="12" t="str">
        <f aca="false">IF($A459="","",IF(OR($B459="",$C459=""),"Von und Bis eintragen",IF($C459&lt;$B459,"Bis liegt vor Von",IF(ISNA(MATCH($A459,Team!$A$5:$A$64,0)),"Name fehlt im Blatt Team",IF(COUNTIFS($A$6:$A$605,$A459,$B$6:$B$605,"&lt;="&amp;$C459,$C$6:$C$605,"&gt;="&amp;$B459)&gt;1,"Überschneidet sich mit eigenem Wunsch",IF(OR($B459&lt;Einstellungen!$B$3,$C459&gt;Einstellungen!$B$4),"Teils außerhalb des Planungsjahres","ok"))))))</f>
        <v/>
      </c>
      <c r="J459" s="14"/>
    </row>
    <row r="460" customFormat="false" ht="15" hidden="false" customHeight="false" outlineLevel="0" collapsed="false">
      <c r="A460" s="15"/>
      <c r="B460" s="14"/>
      <c r="C460" s="14"/>
      <c r="D460" s="15"/>
      <c r="E460" s="15"/>
      <c r="F460" s="12" t="str">
        <f aca="false">IF($A460="","",IFERROR(INDEX(Team!$B$5:$B$64,MATCH($A460,Team!$A$5:$A$64,0)),"?"))</f>
        <v/>
      </c>
      <c r="G460" s="13" t="str">
        <f aca="false">IF($A460="","",COUNTIF($A$6:$A460,$A460)&amp;". Wunsch")</f>
        <v/>
      </c>
      <c r="H460" s="13" t="str">
        <f aca="false">IF(OR($A460="",$B460="",$C460="",$C460&lt;$B460),"",NETWORKDAYS($B460,$C460,Einstellungen!$N$7:$N$40))</f>
        <v/>
      </c>
      <c r="I460" s="12" t="str">
        <f aca="false">IF($A460="","",IF(OR($B460="",$C460=""),"Von und Bis eintragen",IF($C460&lt;$B460,"Bis liegt vor Von",IF(ISNA(MATCH($A460,Team!$A$5:$A$64,0)),"Name fehlt im Blatt Team",IF(COUNTIFS($A$6:$A$605,$A460,$B$6:$B$605,"&lt;="&amp;$C460,$C$6:$C$605,"&gt;="&amp;$B460)&gt;1,"Überschneidet sich mit eigenem Wunsch",IF(OR($B460&lt;Einstellungen!$B$3,$C460&gt;Einstellungen!$B$4),"Teils außerhalb des Planungsjahres","ok"))))))</f>
        <v/>
      </c>
      <c r="J460" s="14"/>
    </row>
    <row r="461" customFormat="false" ht="15" hidden="false" customHeight="false" outlineLevel="0" collapsed="false">
      <c r="A461" s="15"/>
      <c r="B461" s="14"/>
      <c r="C461" s="14"/>
      <c r="D461" s="15"/>
      <c r="E461" s="15"/>
      <c r="F461" s="12" t="str">
        <f aca="false">IF($A461="","",IFERROR(INDEX(Team!$B$5:$B$64,MATCH($A461,Team!$A$5:$A$64,0)),"?"))</f>
        <v/>
      </c>
      <c r="G461" s="13" t="str">
        <f aca="false">IF($A461="","",COUNTIF($A$6:$A461,$A461)&amp;". Wunsch")</f>
        <v/>
      </c>
      <c r="H461" s="13" t="str">
        <f aca="false">IF(OR($A461="",$B461="",$C461="",$C461&lt;$B461),"",NETWORKDAYS($B461,$C461,Einstellungen!$N$7:$N$40))</f>
        <v/>
      </c>
      <c r="I461" s="12" t="str">
        <f aca="false">IF($A461="","",IF(OR($B461="",$C461=""),"Von und Bis eintragen",IF($C461&lt;$B461,"Bis liegt vor Von",IF(ISNA(MATCH($A461,Team!$A$5:$A$64,0)),"Name fehlt im Blatt Team",IF(COUNTIFS($A$6:$A$605,$A461,$B$6:$B$605,"&lt;="&amp;$C461,$C$6:$C$605,"&gt;="&amp;$B461)&gt;1,"Überschneidet sich mit eigenem Wunsch",IF(OR($B461&lt;Einstellungen!$B$3,$C461&gt;Einstellungen!$B$4),"Teils außerhalb des Planungsjahres","ok"))))))</f>
        <v/>
      </c>
      <c r="J461" s="14"/>
    </row>
    <row r="462" customFormat="false" ht="15" hidden="false" customHeight="false" outlineLevel="0" collapsed="false">
      <c r="A462" s="15"/>
      <c r="B462" s="14"/>
      <c r="C462" s="14"/>
      <c r="D462" s="15"/>
      <c r="E462" s="15"/>
      <c r="F462" s="12" t="str">
        <f aca="false">IF($A462="","",IFERROR(INDEX(Team!$B$5:$B$64,MATCH($A462,Team!$A$5:$A$64,0)),"?"))</f>
        <v/>
      </c>
      <c r="G462" s="13" t="str">
        <f aca="false">IF($A462="","",COUNTIF($A$6:$A462,$A462)&amp;". Wunsch")</f>
        <v/>
      </c>
      <c r="H462" s="13" t="str">
        <f aca="false">IF(OR($A462="",$B462="",$C462="",$C462&lt;$B462),"",NETWORKDAYS($B462,$C462,Einstellungen!$N$7:$N$40))</f>
        <v/>
      </c>
      <c r="I462" s="12" t="str">
        <f aca="false">IF($A462="","",IF(OR($B462="",$C462=""),"Von und Bis eintragen",IF($C462&lt;$B462,"Bis liegt vor Von",IF(ISNA(MATCH($A462,Team!$A$5:$A$64,0)),"Name fehlt im Blatt Team",IF(COUNTIFS($A$6:$A$605,$A462,$B$6:$B$605,"&lt;="&amp;$C462,$C$6:$C$605,"&gt;="&amp;$B462)&gt;1,"Überschneidet sich mit eigenem Wunsch",IF(OR($B462&lt;Einstellungen!$B$3,$C462&gt;Einstellungen!$B$4),"Teils außerhalb des Planungsjahres","ok"))))))</f>
        <v/>
      </c>
      <c r="J462" s="14"/>
    </row>
    <row r="463" customFormat="false" ht="15" hidden="false" customHeight="false" outlineLevel="0" collapsed="false">
      <c r="A463" s="15"/>
      <c r="B463" s="14"/>
      <c r="C463" s="14"/>
      <c r="D463" s="15"/>
      <c r="E463" s="15"/>
      <c r="F463" s="12" t="str">
        <f aca="false">IF($A463="","",IFERROR(INDEX(Team!$B$5:$B$64,MATCH($A463,Team!$A$5:$A$64,0)),"?"))</f>
        <v/>
      </c>
      <c r="G463" s="13" t="str">
        <f aca="false">IF($A463="","",COUNTIF($A$6:$A463,$A463)&amp;". Wunsch")</f>
        <v/>
      </c>
      <c r="H463" s="13" t="str">
        <f aca="false">IF(OR($A463="",$B463="",$C463="",$C463&lt;$B463),"",NETWORKDAYS($B463,$C463,Einstellungen!$N$7:$N$40))</f>
        <v/>
      </c>
      <c r="I463" s="12" t="str">
        <f aca="false">IF($A463="","",IF(OR($B463="",$C463=""),"Von und Bis eintragen",IF($C463&lt;$B463,"Bis liegt vor Von",IF(ISNA(MATCH($A463,Team!$A$5:$A$64,0)),"Name fehlt im Blatt Team",IF(COUNTIFS($A$6:$A$605,$A463,$B$6:$B$605,"&lt;="&amp;$C463,$C$6:$C$605,"&gt;="&amp;$B463)&gt;1,"Überschneidet sich mit eigenem Wunsch",IF(OR($B463&lt;Einstellungen!$B$3,$C463&gt;Einstellungen!$B$4),"Teils außerhalb des Planungsjahres","ok"))))))</f>
        <v/>
      </c>
      <c r="J463" s="14"/>
    </row>
    <row r="464" customFormat="false" ht="15" hidden="false" customHeight="false" outlineLevel="0" collapsed="false">
      <c r="A464" s="15"/>
      <c r="B464" s="14"/>
      <c r="C464" s="14"/>
      <c r="D464" s="15"/>
      <c r="E464" s="15"/>
      <c r="F464" s="12" t="str">
        <f aca="false">IF($A464="","",IFERROR(INDEX(Team!$B$5:$B$64,MATCH($A464,Team!$A$5:$A$64,0)),"?"))</f>
        <v/>
      </c>
      <c r="G464" s="13" t="str">
        <f aca="false">IF($A464="","",COUNTIF($A$6:$A464,$A464)&amp;". Wunsch")</f>
        <v/>
      </c>
      <c r="H464" s="13" t="str">
        <f aca="false">IF(OR($A464="",$B464="",$C464="",$C464&lt;$B464),"",NETWORKDAYS($B464,$C464,Einstellungen!$N$7:$N$40))</f>
        <v/>
      </c>
      <c r="I464" s="12" t="str">
        <f aca="false">IF($A464="","",IF(OR($B464="",$C464=""),"Von und Bis eintragen",IF($C464&lt;$B464,"Bis liegt vor Von",IF(ISNA(MATCH($A464,Team!$A$5:$A$64,0)),"Name fehlt im Blatt Team",IF(COUNTIFS($A$6:$A$605,$A464,$B$6:$B$605,"&lt;="&amp;$C464,$C$6:$C$605,"&gt;="&amp;$B464)&gt;1,"Überschneidet sich mit eigenem Wunsch",IF(OR($B464&lt;Einstellungen!$B$3,$C464&gt;Einstellungen!$B$4),"Teils außerhalb des Planungsjahres","ok"))))))</f>
        <v/>
      </c>
      <c r="J464" s="14"/>
    </row>
    <row r="465" customFormat="false" ht="15" hidden="false" customHeight="false" outlineLevel="0" collapsed="false">
      <c r="A465" s="15"/>
      <c r="B465" s="14"/>
      <c r="C465" s="14"/>
      <c r="D465" s="15"/>
      <c r="E465" s="15"/>
      <c r="F465" s="12" t="str">
        <f aca="false">IF($A465="","",IFERROR(INDEX(Team!$B$5:$B$64,MATCH($A465,Team!$A$5:$A$64,0)),"?"))</f>
        <v/>
      </c>
      <c r="G465" s="13" t="str">
        <f aca="false">IF($A465="","",COUNTIF($A$6:$A465,$A465)&amp;". Wunsch")</f>
        <v/>
      </c>
      <c r="H465" s="13" t="str">
        <f aca="false">IF(OR($A465="",$B465="",$C465="",$C465&lt;$B465),"",NETWORKDAYS($B465,$C465,Einstellungen!$N$7:$N$40))</f>
        <v/>
      </c>
      <c r="I465" s="12" t="str">
        <f aca="false">IF($A465="","",IF(OR($B465="",$C465=""),"Von und Bis eintragen",IF($C465&lt;$B465,"Bis liegt vor Von",IF(ISNA(MATCH($A465,Team!$A$5:$A$64,0)),"Name fehlt im Blatt Team",IF(COUNTIFS($A$6:$A$605,$A465,$B$6:$B$605,"&lt;="&amp;$C465,$C$6:$C$605,"&gt;="&amp;$B465)&gt;1,"Überschneidet sich mit eigenem Wunsch",IF(OR($B465&lt;Einstellungen!$B$3,$C465&gt;Einstellungen!$B$4),"Teils außerhalb des Planungsjahres","ok"))))))</f>
        <v/>
      </c>
      <c r="J465" s="14"/>
    </row>
    <row r="466" customFormat="false" ht="15" hidden="false" customHeight="false" outlineLevel="0" collapsed="false">
      <c r="A466" s="15"/>
      <c r="B466" s="14"/>
      <c r="C466" s="14"/>
      <c r="D466" s="15"/>
      <c r="E466" s="15"/>
      <c r="F466" s="12" t="str">
        <f aca="false">IF($A466="","",IFERROR(INDEX(Team!$B$5:$B$64,MATCH($A466,Team!$A$5:$A$64,0)),"?"))</f>
        <v/>
      </c>
      <c r="G466" s="13" t="str">
        <f aca="false">IF($A466="","",COUNTIF($A$6:$A466,$A466)&amp;". Wunsch")</f>
        <v/>
      </c>
      <c r="H466" s="13" t="str">
        <f aca="false">IF(OR($A466="",$B466="",$C466="",$C466&lt;$B466),"",NETWORKDAYS($B466,$C466,Einstellungen!$N$7:$N$40))</f>
        <v/>
      </c>
      <c r="I466" s="12" t="str">
        <f aca="false">IF($A466="","",IF(OR($B466="",$C466=""),"Von und Bis eintragen",IF($C466&lt;$B466,"Bis liegt vor Von",IF(ISNA(MATCH($A466,Team!$A$5:$A$64,0)),"Name fehlt im Blatt Team",IF(COUNTIFS($A$6:$A$605,$A466,$B$6:$B$605,"&lt;="&amp;$C466,$C$6:$C$605,"&gt;="&amp;$B466)&gt;1,"Überschneidet sich mit eigenem Wunsch",IF(OR($B466&lt;Einstellungen!$B$3,$C466&gt;Einstellungen!$B$4),"Teils außerhalb des Planungsjahres","ok"))))))</f>
        <v/>
      </c>
      <c r="J466" s="14"/>
    </row>
    <row r="467" customFormat="false" ht="15" hidden="false" customHeight="false" outlineLevel="0" collapsed="false">
      <c r="A467" s="15"/>
      <c r="B467" s="14"/>
      <c r="C467" s="14"/>
      <c r="D467" s="15"/>
      <c r="E467" s="15"/>
      <c r="F467" s="12" t="str">
        <f aca="false">IF($A467="","",IFERROR(INDEX(Team!$B$5:$B$64,MATCH($A467,Team!$A$5:$A$64,0)),"?"))</f>
        <v/>
      </c>
      <c r="G467" s="13" t="str">
        <f aca="false">IF($A467="","",COUNTIF($A$6:$A467,$A467)&amp;". Wunsch")</f>
        <v/>
      </c>
      <c r="H467" s="13" t="str">
        <f aca="false">IF(OR($A467="",$B467="",$C467="",$C467&lt;$B467),"",NETWORKDAYS($B467,$C467,Einstellungen!$N$7:$N$40))</f>
        <v/>
      </c>
      <c r="I467" s="12" t="str">
        <f aca="false">IF($A467="","",IF(OR($B467="",$C467=""),"Von und Bis eintragen",IF($C467&lt;$B467,"Bis liegt vor Von",IF(ISNA(MATCH($A467,Team!$A$5:$A$64,0)),"Name fehlt im Blatt Team",IF(COUNTIFS($A$6:$A$605,$A467,$B$6:$B$605,"&lt;="&amp;$C467,$C$6:$C$605,"&gt;="&amp;$B467)&gt;1,"Überschneidet sich mit eigenem Wunsch",IF(OR($B467&lt;Einstellungen!$B$3,$C467&gt;Einstellungen!$B$4),"Teils außerhalb des Planungsjahres","ok"))))))</f>
        <v/>
      </c>
      <c r="J467" s="14"/>
    </row>
    <row r="468" customFormat="false" ht="15" hidden="false" customHeight="false" outlineLevel="0" collapsed="false">
      <c r="A468" s="15"/>
      <c r="B468" s="14"/>
      <c r="C468" s="14"/>
      <c r="D468" s="15"/>
      <c r="E468" s="15"/>
      <c r="F468" s="12" t="str">
        <f aca="false">IF($A468="","",IFERROR(INDEX(Team!$B$5:$B$64,MATCH($A468,Team!$A$5:$A$64,0)),"?"))</f>
        <v/>
      </c>
      <c r="G468" s="13" t="str">
        <f aca="false">IF($A468="","",COUNTIF($A$6:$A468,$A468)&amp;". Wunsch")</f>
        <v/>
      </c>
      <c r="H468" s="13" t="str">
        <f aca="false">IF(OR($A468="",$B468="",$C468="",$C468&lt;$B468),"",NETWORKDAYS($B468,$C468,Einstellungen!$N$7:$N$40))</f>
        <v/>
      </c>
      <c r="I468" s="12" t="str">
        <f aca="false">IF($A468="","",IF(OR($B468="",$C468=""),"Von und Bis eintragen",IF($C468&lt;$B468,"Bis liegt vor Von",IF(ISNA(MATCH($A468,Team!$A$5:$A$64,0)),"Name fehlt im Blatt Team",IF(COUNTIFS($A$6:$A$605,$A468,$B$6:$B$605,"&lt;="&amp;$C468,$C$6:$C$605,"&gt;="&amp;$B468)&gt;1,"Überschneidet sich mit eigenem Wunsch",IF(OR($B468&lt;Einstellungen!$B$3,$C468&gt;Einstellungen!$B$4),"Teils außerhalb des Planungsjahres","ok"))))))</f>
        <v/>
      </c>
      <c r="J468" s="14"/>
    </row>
    <row r="469" customFormat="false" ht="15" hidden="false" customHeight="false" outlineLevel="0" collapsed="false">
      <c r="A469" s="15"/>
      <c r="B469" s="14"/>
      <c r="C469" s="14"/>
      <c r="D469" s="15"/>
      <c r="E469" s="15"/>
      <c r="F469" s="12" t="str">
        <f aca="false">IF($A469="","",IFERROR(INDEX(Team!$B$5:$B$64,MATCH($A469,Team!$A$5:$A$64,0)),"?"))</f>
        <v/>
      </c>
      <c r="G469" s="13" t="str">
        <f aca="false">IF($A469="","",COUNTIF($A$6:$A469,$A469)&amp;". Wunsch")</f>
        <v/>
      </c>
      <c r="H469" s="13" t="str">
        <f aca="false">IF(OR($A469="",$B469="",$C469="",$C469&lt;$B469),"",NETWORKDAYS($B469,$C469,Einstellungen!$N$7:$N$40))</f>
        <v/>
      </c>
      <c r="I469" s="12" t="str">
        <f aca="false">IF($A469="","",IF(OR($B469="",$C469=""),"Von und Bis eintragen",IF($C469&lt;$B469,"Bis liegt vor Von",IF(ISNA(MATCH($A469,Team!$A$5:$A$64,0)),"Name fehlt im Blatt Team",IF(COUNTIFS($A$6:$A$605,$A469,$B$6:$B$605,"&lt;="&amp;$C469,$C$6:$C$605,"&gt;="&amp;$B469)&gt;1,"Überschneidet sich mit eigenem Wunsch",IF(OR($B469&lt;Einstellungen!$B$3,$C469&gt;Einstellungen!$B$4),"Teils außerhalb des Planungsjahres","ok"))))))</f>
        <v/>
      </c>
      <c r="J469" s="14"/>
    </row>
    <row r="470" customFormat="false" ht="15" hidden="false" customHeight="false" outlineLevel="0" collapsed="false">
      <c r="A470" s="15"/>
      <c r="B470" s="14"/>
      <c r="C470" s="14"/>
      <c r="D470" s="15"/>
      <c r="E470" s="15"/>
      <c r="F470" s="12" t="str">
        <f aca="false">IF($A470="","",IFERROR(INDEX(Team!$B$5:$B$64,MATCH($A470,Team!$A$5:$A$64,0)),"?"))</f>
        <v/>
      </c>
      <c r="G470" s="13" t="str">
        <f aca="false">IF($A470="","",COUNTIF($A$6:$A470,$A470)&amp;". Wunsch")</f>
        <v/>
      </c>
      <c r="H470" s="13" t="str">
        <f aca="false">IF(OR($A470="",$B470="",$C470="",$C470&lt;$B470),"",NETWORKDAYS($B470,$C470,Einstellungen!$N$7:$N$40))</f>
        <v/>
      </c>
      <c r="I470" s="12" t="str">
        <f aca="false">IF($A470="","",IF(OR($B470="",$C470=""),"Von und Bis eintragen",IF($C470&lt;$B470,"Bis liegt vor Von",IF(ISNA(MATCH($A470,Team!$A$5:$A$64,0)),"Name fehlt im Blatt Team",IF(COUNTIFS($A$6:$A$605,$A470,$B$6:$B$605,"&lt;="&amp;$C470,$C$6:$C$605,"&gt;="&amp;$B470)&gt;1,"Überschneidet sich mit eigenem Wunsch",IF(OR($B470&lt;Einstellungen!$B$3,$C470&gt;Einstellungen!$B$4),"Teils außerhalb des Planungsjahres","ok"))))))</f>
        <v/>
      </c>
      <c r="J470" s="14"/>
    </row>
    <row r="471" customFormat="false" ht="15" hidden="false" customHeight="false" outlineLevel="0" collapsed="false">
      <c r="A471" s="15"/>
      <c r="B471" s="14"/>
      <c r="C471" s="14"/>
      <c r="D471" s="15"/>
      <c r="E471" s="15"/>
      <c r="F471" s="12" t="str">
        <f aca="false">IF($A471="","",IFERROR(INDEX(Team!$B$5:$B$64,MATCH($A471,Team!$A$5:$A$64,0)),"?"))</f>
        <v/>
      </c>
      <c r="G471" s="13" t="str">
        <f aca="false">IF($A471="","",COUNTIF($A$6:$A471,$A471)&amp;". Wunsch")</f>
        <v/>
      </c>
      <c r="H471" s="13" t="str">
        <f aca="false">IF(OR($A471="",$B471="",$C471="",$C471&lt;$B471),"",NETWORKDAYS($B471,$C471,Einstellungen!$N$7:$N$40))</f>
        <v/>
      </c>
      <c r="I471" s="12" t="str">
        <f aca="false">IF($A471="","",IF(OR($B471="",$C471=""),"Von und Bis eintragen",IF($C471&lt;$B471,"Bis liegt vor Von",IF(ISNA(MATCH($A471,Team!$A$5:$A$64,0)),"Name fehlt im Blatt Team",IF(COUNTIFS($A$6:$A$605,$A471,$B$6:$B$605,"&lt;="&amp;$C471,$C$6:$C$605,"&gt;="&amp;$B471)&gt;1,"Überschneidet sich mit eigenem Wunsch",IF(OR($B471&lt;Einstellungen!$B$3,$C471&gt;Einstellungen!$B$4),"Teils außerhalb des Planungsjahres","ok"))))))</f>
        <v/>
      </c>
      <c r="J471" s="14"/>
    </row>
    <row r="472" customFormat="false" ht="15" hidden="false" customHeight="false" outlineLevel="0" collapsed="false">
      <c r="A472" s="15"/>
      <c r="B472" s="14"/>
      <c r="C472" s="14"/>
      <c r="D472" s="15"/>
      <c r="E472" s="15"/>
      <c r="F472" s="12" t="str">
        <f aca="false">IF($A472="","",IFERROR(INDEX(Team!$B$5:$B$64,MATCH($A472,Team!$A$5:$A$64,0)),"?"))</f>
        <v/>
      </c>
      <c r="G472" s="13" t="str">
        <f aca="false">IF($A472="","",COUNTIF($A$6:$A472,$A472)&amp;". Wunsch")</f>
        <v/>
      </c>
      <c r="H472" s="13" t="str">
        <f aca="false">IF(OR($A472="",$B472="",$C472="",$C472&lt;$B472),"",NETWORKDAYS($B472,$C472,Einstellungen!$N$7:$N$40))</f>
        <v/>
      </c>
      <c r="I472" s="12" t="str">
        <f aca="false">IF($A472="","",IF(OR($B472="",$C472=""),"Von und Bis eintragen",IF($C472&lt;$B472,"Bis liegt vor Von",IF(ISNA(MATCH($A472,Team!$A$5:$A$64,0)),"Name fehlt im Blatt Team",IF(COUNTIFS($A$6:$A$605,$A472,$B$6:$B$605,"&lt;="&amp;$C472,$C$6:$C$605,"&gt;="&amp;$B472)&gt;1,"Überschneidet sich mit eigenem Wunsch",IF(OR($B472&lt;Einstellungen!$B$3,$C472&gt;Einstellungen!$B$4),"Teils außerhalb des Planungsjahres","ok"))))))</f>
        <v/>
      </c>
      <c r="J472" s="14"/>
    </row>
    <row r="473" customFormat="false" ht="15" hidden="false" customHeight="false" outlineLevel="0" collapsed="false">
      <c r="A473" s="15"/>
      <c r="B473" s="14"/>
      <c r="C473" s="14"/>
      <c r="D473" s="15"/>
      <c r="E473" s="15"/>
      <c r="F473" s="12" t="str">
        <f aca="false">IF($A473="","",IFERROR(INDEX(Team!$B$5:$B$64,MATCH($A473,Team!$A$5:$A$64,0)),"?"))</f>
        <v/>
      </c>
      <c r="G473" s="13" t="str">
        <f aca="false">IF($A473="","",COUNTIF($A$6:$A473,$A473)&amp;". Wunsch")</f>
        <v/>
      </c>
      <c r="H473" s="13" t="str">
        <f aca="false">IF(OR($A473="",$B473="",$C473="",$C473&lt;$B473),"",NETWORKDAYS($B473,$C473,Einstellungen!$N$7:$N$40))</f>
        <v/>
      </c>
      <c r="I473" s="12" t="str">
        <f aca="false">IF($A473="","",IF(OR($B473="",$C473=""),"Von und Bis eintragen",IF($C473&lt;$B473,"Bis liegt vor Von",IF(ISNA(MATCH($A473,Team!$A$5:$A$64,0)),"Name fehlt im Blatt Team",IF(COUNTIFS($A$6:$A$605,$A473,$B$6:$B$605,"&lt;="&amp;$C473,$C$6:$C$605,"&gt;="&amp;$B473)&gt;1,"Überschneidet sich mit eigenem Wunsch",IF(OR($B473&lt;Einstellungen!$B$3,$C473&gt;Einstellungen!$B$4),"Teils außerhalb des Planungsjahres","ok"))))))</f>
        <v/>
      </c>
      <c r="J473" s="14"/>
    </row>
    <row r="474" customFormat="false" ht="15" hidden="false" customHeight="false" outlineLevel="0" collapsed="false">
      <c r="A474" s="15"/>
      <c r="B474" s="14"/>
      <c r="C474" s="14"/>
      <c r="D474" s="15"/>
      <c r="E474" s="15"/>
      <c r="F474" s="12" t="str">
        <f aca="false">IF($A474="","",IFERROR(INDEX(Team!$B$5:$B$64,MATCH($A474,Team!$A$5:$A$64,0)),"?"))</f>
        <v/>
      </c>
      <c r="G474" s="13" t="str">
        <f aca="false">IF($A474="","",COUNTIF($A$6:$A474,$A474)&amp;". Wunsch")</f>
        <v/>
      </c>
      <c r="H474" s="13" t="str">
        <f aca="false">IF(OR($A474="",$B474="",$C474="",$C474&lt;$B474),"",NETWORKDAYS($B474,$C474,Einstellungen!$N$7:$N$40))</f>
        <v/>
      </c>
      <c r="I474" s="12" t="str">
        <f aca="false">IF($A474="","",IF(OR($B474="",$C474=""),"Von und Bis eintragen",IF($C474&lt;$B474,"Bis liegt vor Von",IF(ISNA(MATCH($A474,Team!$A$5:$A$64,0)),"Name fehlt im Blatt Team",IF(COUNTIFS($A$6:$A$605,$A474,$B$6:$B$605,"&lt;="&amp;$C474,$C$6:$C$605,"&gt;="&amp;$B474)&gt;1,"Überschneidet sich mit eigenem Wunsch",IF(OR($B474&lt;Einstellungen!$B$3,$C474&gt;Einstellungen!$B$4),"Teils außerhalb des Planungsjahres","ok"))))))</f>
        <v/>
      </c>
      <c r="J474" s="14"/>
    </row>
    <row r="475" customFormat="false" ht="15" hidden="false" customHeight="false" outlineLevel="0" collapsed="false">
      <c r="A475" s="15"/>
      <c r="B475" s="14"/>
      <c r="C475" s="14"/>
      <c r="D475" s="15"/>
      <c r="E475" s="15"/>
      <c r="F475" s="12" t="str">
        <f aca="false">IF($A475="","",IFERROR(INDEX(Team!$B$5:$B$64,MATCH($A475,Team!$A$5:$A$64,0)),"?"))</f>
        <v/>
      </c>
      <c r="G475" s="13" t="str">
        <f aca="false">IF($A475="","",COUNTIF($A$6:$A475,$A475)&amp;". Wunsch")</f>
        <v/>
      </c>
      <c r="H475" s="13" t="str">
        <f aca="false">IF(OR($A475="",$B475="",$C475="",$C475&lt;$B475),"",NETWORKDAYS($B475,$C475,Einstellungen!$N$7:$N$40))</f>
        <v/>
      </c>
      <c r="I475" s="12" t="str">
        <f aca="false">IF($A475="","",IF(OR($B475="",$C475=""),"Von und Bis eintragen",IF($C475&lt;$B475,"Bis liegt vor Von",IF(ISNA(MATCH($A475,Team!$A$5:$A$64,0)),"Name fehlt im Blatt Team",IF(COUNTIFS($A$6:$A$605,$A475,$B$6:$B$605,"&lt;="&amp;$C475,$C$6:$C$605,"&gt;="&amp;$B475)&gt;1,"Überschneidet sich mit eigenem Wunsch",IF(OR($B475&lt;Einstellungen!$B$3,$C475&gt;Einstellungen!$B$4),"Teils außerhalb des Planungsjahres","ok"))))))</f>
        <v/>
      </c>
      <c r="J475" s="14"/>
    </row>
    <row r="476" customFormat="false" ht="15" hidden="false" customHeight="false" outlineLevel="0" collapsed="false">
      <c r="A476" s="15"/>
      <c r="B476" s="14"/>
      <c r="C476" s="14"/>
      <c r="D476" s="15"/>
      <c r="E476" s="15"/>
      <c r="F476" s="12" t="str">
        <f aca="false">IF($A476="","",IFERROR(INDEX(Team!$B$5:$B$64,MATCH($A476,Team!$A$5:$A$64,0)),"?"))</f>
        <v/>
      </c>
      <c r="G476" s="13" t="str">
        <f aca="false">IF($A476="","",COUNTIF($A$6:$A476,$A476)&amp;". Wunsch")</f>
        <v/>
      </c>
      <c r="H476" s="13" t="str">
        <f aca="false">IF(OR($A476="",$B476="",$C476="",$C476&lt;$B476),"",NETWORKDAYS($B476,$C476,Einstellungen!$N$7:$N$40))</f>
        <v/>
      </c>
      <c r="I476" s="12" t="str">
        <f aca="false">IF($A476="","",IF(OR($B476="",$C476=""),"Von und Bis eintragen",IF($C476&lt;$B476,"Bis liegt vor Von",IF(ISNA(MATCH($A476,Team!$A$5:$A$64,0)),"Name fehlt im Blatt Team",IF(COUNTIFS($A$6:$A$605,$A476,$B$6:$B$605,"&lt;="&amp;$C476,$C$6:$C$605,"&gt;="&amp;$B476)&gt;1,"Überschneidet sich mit eigenem Wunsch",IF(OR($B476&lt;Einstellungen!$B$3,$C476&gt;Einstellungen!$B$4),"Teils außerhalb des Planungsjahres","ok"))))))</f>
        <v/>
      </c>
      <c r="J476" s="14"/>
    </row>
    <row r="477" customFormat="false" ht="15" hidden="false" customHeight="false" outlineLevel="0" collapsed="false">
      <c r="A477" s="15"/>
      <c r="B477" s="14"/>
      <c r="C477" s="14"/>
      <c r="D477" s="15"/>
      <c r="E477" s="15"/>
      <c r="F477" s="12" t="str">
        <f aca="false">IF($A477="","",IFERROR(INDEX(Team!$B$5:$B$64,MATCH($A477,Team!$A$5:$A$64,0)),"?"))</f>
        <v/>
      </c>
      <c r="G477" s="13" t="str">
        <f aca="false">IF($A477="","",COUNTIF($A$6:$A477,$A477)&amp;". Wunsch")</f>
        <v/>
      </c>
      <c r="H477" s="13" t="str">
        <f aca="false">IF(OR($A477="",$B477="",$C477="",$C477&lt;$B477),"",NETWORKDAYS($B477,$C477,Einstellungen!$N$7:$N$40))</f>
        <v/>
      </c>
      <c r="I477" s="12" t="str">
        <f aca="false">IF($A477="","",IF(OR($B477="",$C477=""),"Von und Bis eintragen",IF($C477&lt;$B477,"Bis liegt vor Von",IF(ISNA(MATCH($A477,Team!$A$5:$A$64,0)),"Name fehlt im Blatt Team",IF(COUNTIFS($A$6:$A$605,$A477,$B$6:$B$605,"&lt;="&amp;$C477,$C$6:$C$605,"&gt;="&amp;$B477)&gt;1,"Überschneidet sich mit eigenem Wunsch",IF(OR($B477&lt;Einstellungen!$B$3,$C477&gt;Einstellungen!$B$4),"Teils außerhalb des Planungsjahres","ok"))))))</f>
        <v/>
      </c>
      <c r="J477" s="14"/>
    </row>
    <row r="478" customFormat="false" ht="15" hidden="false" customHeight="false" outlineLevel="0" collapsed="false">
      <c r="A478" s="15"/>
      <c r="B478" s="14"/>
      <c r="C478" s="14"/>
      <c r="D478" s="15"/>
      <c r="E478" s="15"/>
      <c r="F478" s="12" t="str">
        <f aca="false">IF($A478="","",IFERROR(INDEX(Team!$B$5:$B$64,MATCH($A478,Team!$A$5:$A$64,0)),"?"))</f>
        <v/>
      </c>
      <c r="G478" s="13" t="str">
        <f aca="false">IF($A478="","",COUNTIF($A$6:$A478,$A478)&amp;". Wunsch")</f>
        <v/>
      </c>
      <c r="H478" s="13" t="str">
        <f aca="false">IF(OR($A478="",$B478="",$C478="",$C478&lt;$B478),"",NETWORKDAYS($B478,$C478,Einstellungen!$N$7:$N$40))</f>
        <v/>
      </c>
      <c r="I478" s="12" t="str">
        <f aca="false">IF($A478="","",IF(OR($B478="",$C478=""),"Von und Bis eintragen",IF($C478&lt;$B478,"Bis liegt vor Von",IF(ISNA(MATCH($A478,Team!$A$5:$A$64,0)),"Name fehlt im Blatt Team",IF(COUNTIFS($A$6:$A$605,$A478,$B$6:$B$605,"&lt;="&amp;$C478,$C$6:$C$605,"&gt;="&amp;$B478)&gt;1,"Überschneidet sich mit eigenem Wunsch",IF(OR($B478&lt;Einstellungen!$B$3,$C478&gt;Einstellungen!$B$4),"Teils außerhalb des Planungsjahres","ok"))))))</f>
        <v/>
      </c>
      <c r="J478" s="14"/>
    </row>
    <row r="479" customFormat="false" ht="15" hidden="false" customHeight="false" outlineLevel="0" collapsed="false">
      <c r="A479" s="15"/>
      <c r="B479" s="14"/>
      <c r="C479" s="14"/>
      <c r="D479" s="15"/>
      <c r="E479" s="15"/>
      <c r="F479" s="12" t="str">
        <f aca="false">IF($A479="","",IFERROR(INDEX(Team!$B$5:$B$64,MATCH($A479,Team!$A$5:$A$64,0)),"?"))</f>
        <v/>
      </c>
      <c r="G479" s="13" t="str">
        <f aca="false">IF($A479="","",COUNTIF($A$6:$A479,$A479)&amp;". Wunsch")</f>
        <v/>
      </c>
      <c r="H479" s="13" t="str">
        <f aca="false">IF(OR($A479="",$B479="",$C479="",$C479&lt;$B479),"",NETWORKDAYS($B479,$C479,Einstellungen!$N$7:$N$40))</f>
        <v/>
      </c>
      <c r="I479" s="12" t="str">
        <f aca="false">IF($A479="","",IF(OR($B479="",$C479=""),"Von und Bis eintragen",IF($C479&lt;$B479,"Bis liegt vor Von",IF(ISNA(MATCH($A479,Team!$A$5:$A$64,0)),"Name fehlt im Blatt Team",IF(COUNTIFS($A$6:$A$605,$A479,$B$6:$B$605,"&lt;="&amp;$C479,$C$6:$C$605,"&gt;="&amp;$B479)&gt;1,"Überschneidet sich mit eigenem Wunsch",IF(OR($B479&lt;Einstellungen!$B$3,$C479&gt;Einstellungen!$B$4),"Teils außerhalb des Planungsjahres","ok"))))))</f>
        <v/>
      </c>
      <c r="J479" s="14"/>
    </row>
    <row r="480" customFormat="false" ht="15" hidden="false" customHeight="false" outlineLevel="0" collapsed="false">
      <c r="A480" s="15"/>
      <c r="B480" s="14"/>
      <c r="C480" s="14"/>
      <c r="D480" s="15"/>
      <c r="E480" s="15"/>
      <c r="F480" s="12" t="str">
        <f aca="false">IF($A480="","",IFERROR(INDEX(Team!$B$5:$B$64,MATCH($A480,Team!$A$5:$A$64,0)),"?"))</f>
        <v/>
      </c>
      <c r="G480" s="13" t="str">
        <f aca="false">IF($A480="","",COUNTIF($A$6:$A480,$A480)&amp;". Wunsch")</f>
        <v/>
      </c>
      <c r="H480" s="13" t="str">
        <f aca="false">IF(OR($A480="",$B480="",$C480="",$C480&lt;$B480),"",NETWORKDAYS($B480,$C480,Einstellungen!$N$7:$N$40))</f>
        <v/>
      </c>
      <c r="I480" s="12" t="str">
        <f aca="false">IF($A480="","",IF(OR($B480="",$C480=""),"Von und Bis eintragen",IF($C480&lt;$B480,"Bis liegt vor Von",IF(ISNA(MATCH($A480,Team!$A$5:$A$64,0)),"Name fehlt im Blatt Team",IF(COUNTIFS($A$6:$A$605,$A480,$B$6:$B$605,"&lt;="&amp;$C480,$C$6:$C$605,"&gt;="&amp;$B480)&gt;1,"Überschneidet sich mit eigenem Wunsch",IF(OR($B480&lt;Einstellungen!$B$3,$C480&gt;Einstellungen!$B$4),"Teils außerhalb des Planungsjahres","ok"))))))</f>
        <v/>
      </c>
      <c r="J480" s="14"/>
    </row>
    <row r="481" customFormat="false" ht="15" hidden="false" customHeight="false" outlineLevel="0" collapsed="false">
      <c r="A481" s="15"/>
      <c r="B481" s="14"/>
      <c r="C481" s="14"/>
      <c r="D481" s="15"/>
      <c r="E481" s="15"/>
      <c r="F481" s="12" t="str">
        <f aca="false">IF($A481="","",IFERROR(INDEX(Team!$B$5:$B$64,MATCH($A481,Team!$A$5:$A$64,0)),"?"))</f>
        <v/>
      </c>
      <c r="G481" s="13" t="str">
        <f aca="false">IF($A481="","",COUNTIF($A$6:$A481,$A481)&amp;". Wunsch")</f>
        <v/>
      </c>
      <c r="H481" s="13" t="str">
        <f aca="false">IF(OR($A481="",$B481="",$C481="",$C481&lt;$B481),"",NETWORKDAYS($B481,$C481,Einstellungen!$N$7:$N$40))</f>
        <v/>
      </c>
      <c r="I481" s="12" t="str">
        <f aca="false">IF($A481="","",IF(OR($B481="",$C481=""),"Von und Bis eintragen",IF($C481&lt;$B481,"Bis liegt vor Von",IF(ISNA(MATCH($A481,Team!$A$5:$A$64,0)),"Name fehlt im Blatt Team",IF(COUNTIFS($A$6:$A$605,$A481,$B$6:$B$605,"&lt;="&amp;$C481,$C$6:$C$605,"&gt;="&amp;$B481)&gt;1,"Überschneidet sich mit eigenem Wunsch",IF(OR($B481&lt;Einstellungen!$B$3,$C481&gt;Einstellungen!$B$4),"Teils außerhalb des Planungsjahres","ok"))))))</f>
        <v/>
      </c>
      <c r="J481" s="14"/>
    </row>
    <row r="482" customFormat="false" ht="15" hidden="false" customHeight="false" outlineLevel="0" collapsed="false">
      <c r="A482" s="15"/>
      <c r="B482" s="14"/>
      <c r="C482" s="14"/>
      <c r="D482" s="15"/>
      <c r="E482" s="15"/>
      <c r="F482" s="12" t="str">
        <f aca="false">IF($A482="","",IFERROR(INDEX(Team!$B$5:$B$64,MATCH($A482,Team!$A$5:$A$64,0)),"?"))</f>
        <v/>
      </c>
      <c r="G482" s="13" t="str">
        <f aca="false">IF($A482="","",COUNTIF($A$6:$A482,$A482)&amp;". Wunsch")</f>
        <v/>
      </c>
      <c r="H482" s="13" t="str">
        <f aca="false">IF(OR($A482="",$B482="",$C482="",$C482&lt;$B482),"",NETWORKDAYS($B482,$C482,Einstellungen!$N$7:$N$40))</f>
        <v/>
      </c>
      <c r="I482" s="12" t="str">
        <f aca="false">IF($A482="","",IF(OR($B482="",$C482=""),"Von und Bis eintragen",IF($C482&lt;$B482,"Bis liegt vor Von",IF(ISNA(MATCH($A482,Team!$A$5:$A$64,0)),"Name fehlt im Blatt Team",IF(COUNTIFS($A$6:$A$605,$A482,$B$6:$B$605,"&lt;="&amp;$C482,$C$6:$C$605,"&gt;="&amp;$B482)&gt;1,"Überschneidet sich mit eigenem Wunsch",IF(OR($B482&lt;Einstellungen!$B$3,$C482&gt;Einstellungen!$B$4),"Teils außerhalb des Planungsjahres","ok"))))))</f>
        <v/>
      </c>
      <c r="J482" s="14"/>
    </row>
    <row r="483" customFormat="false" ht="15" hidden="false" customHeight="false" outlineLevel="0" collapsed="false">
      <c r="A483" s="15"/>
      <c r="B483" s="14"/>
      <c r="C483" s="14"/>
      <c r="D483" s="15"/>
      <c r="E483" s="15"/>
      <c r="F483" s="12" t="str">
        <f aca="false">IF($A483="","",IFERROR(INDEX(Team!$B$5:$B$64,MATCH($A483,Team!$A$5:$A$64,0)),"?"))</f>
        <v/>
      </c>
      <c r="G483" s="13" t="str">
        <f aca="false">IF($A483="","",COUNTIF($A$6:$A483,$A483)&amp;". Wunsch")</f>
        <v/>
      </c>
      <c r="H483" s="13" t="str">
        <f aca="false">IF(OR($A483="",$B483="",$C483="",$C483&lt;$B483),"",NETWORKDAYS($B483,$C483,Einstellungen!$N$7:$N$40))</f>
        <v/>
      </c>
      <c r="I483" s="12" t="str">
        <f aca="false">IF($A483="","",IF(OR($B483="",$C483=""),"Von und Bis eintragen",IF($C483&lt;$B483,"Bis liegt vor Von",IF(ISNA(MATCH($A483,Team!$A$5:$A$64,0)),"Name fehlt im Blatt Team",IF(COUNTIFS($A$6:$A$605,$A483,$B$6:$B$605,"&lt;="&amp;$C483,$C$6:$C$605,"&gt;="&amp;$B483)&gt;1,"Überschneidet sich mit eigenem Wunsch",IF(OR($B483&lt;Einstellungen!$B$3,$C483&gt;Einstellungen!$B$4),"Teils außerhalb des Planungsjahres","ok"))))))</f>
        <v/>
      </c>
      <c r="J483" s="14"/>
    </row>
    <row r="484" customFormat="false" ht="15" hidden="false" customHeight="false" outlineLevel="0" collapsed="false">
      <c r="A484" s="15"/>
      <c r="B484" s="14"/>
      <c r="C484" s="14"/>
      <c r="D484" s="15"/>
      <c r="E484" s="15"/>
      <c r="F484" s="12" t="str">
        <f aca="false">IF($A484="","",IFERROR(INDEX(Team!$B$5:$B$64,MATCH($A484,Team!$A$5:$A$64,0)),"?"))</f>
        <v/>
      </c>
      <c r="G484" s="13" t="str">
        <f aca="false">IF($A484="","",COUNTIF($A$6:$A484,$A484)&amp;". Wunsch")</f>
        <v/>
      </c>
      <c r="H484" s="13" t="str">
        <f aca="false">IF(OR($A484="",$B484="",$C484="",$C484&lt;$B484),"",NETWORKDAYS($B484,$C484,Einstellungen!$N$7:$N$40))</f>
        <v/>
      </c>
      <c r="I484" s="12" t="str">
        <f aca="false">IF($A484="","",IF(OR($B484="",$C484=""),"Von und Bis eintragen",IF($C484&lt;$B484,"Bis liegt vor Von",IF(ISNA(MATCH($A484,Team!$A$5:$A$64,0)),"Name fehlt im Blatt Team",IF(COUNTIFS($A$6:$A$605,$A484,$B$6:$B$605,"&lt;="&amp;$C484,$C$6:$C$605,"&gt;="&amp;$B484)&gt;1,"Überschneidet sich mit eigenem Wunsch",IF(OR($B484&lt;Einstellungen!$B$3,$C484&gt;Einstellungen!$B$4),"Teils außerhalb des Planungsjahres","ok"))))))</f>
        <v/>
      </c>
      <c r="J484" s="14"/>
    </row>
    <row r="485" customFormat="false" ht="15" hidden="false" customHeight="false" outlineLevel="0" collapsed="false">
      <c r="A485" s="15"/>
      <c r="B485" s="14"/>
      <c r="C485" s="14"/>
      <c r="D485" s="15"/>
      <c r="E485" s="15"/>
      <c r="F485" s="12" t="str">
        <f aca="false">IF($A485="","",IFERROR(INDEX(Team!$B$5:$B$64,MATCH($A485,Team!$A$5:$A$64,0)),"?"))</f>
        <v/>
      </c>
      <c r="G485" s="13" t="str">
        <f aca="false">IF($A485="","",COUNTIF($A$6:$A485,$A485)&amp;". Wunsch")</f>
        <v/>
      </c>
      <c r="H485" s="13" t="str">
        <f aca="false">IF(OR($A485="",$B485="",$C485="",$C485&lt;$B485),"",NETWORKDAYS($B485,$C485,Einstellungen!$N$7:$N$40))</f>
        <v/>
      </c>
      <c r="I485" s="12" t="str">
        <f aca="false">IF($A485="","",IF(OR($B485="",$C485=""),"Von und Bis eintragen",IF($C485&lt;$B485,"Bis liegt vor Von",IF(ISNA(MATCH($A485,Team!$A$5:$A$64,0)),"Name fehlt im Blatt Team",IF(COUNTIFS($A$6:$A$605,$A485,$B$6:$B$605,"&lt;="&amp;$C485,$C$6:$C$605,"&gt;="&amp;$B485)&gt;1,"Überschneidet sich mit eigenem Wunsch",IF(OR($B485&lt;Einstellungen!$B$3,$C485&gt;Einstellungen!$B$4),"Teils außerhalb des Planungsjahres","ok"))))))</f>
        <v/>
      </c>
      <c r="J485" s="14"/>
    </row>
    <row r="486" customFormat="false" ht="15" hidden="false" customHeight="false" outlineLevel="0" collapsed="false">
      <c r="A486" s="15"/>
      <c r="B486" s="14"/>
      <c r="C486" s="14"/>
      <c r="D486" s="15"/>
      <c r="E486" s="15"/>
      <c r="F486" s="12" t="str">
        <f aca="false">IF($A486="","",IFERROR(INDEX(Team!$B$5:$B$64,MATCH($A486,Team!$A$5:$A$64,0)),"?"))</f>
        <v/>
      </c>
      <c r="G486" s="13" t="str">
        <f aca="false">IF($A486="","",COUNTIF($A$6:$A486,$A486)&amp;". Wunsch")</f>
        <v/>
      </c>
      <c r="H486" s="13" t="str">
        <f aca="false">IF(OR($A486="",$B486="",$C486="",$C486&lt;$B486),"",NETWORKDAYS($B486,$C486,Einstellungen!$N$7:$N$40))</f>
        <v/>
      </c>
      <c r="I486" s="12" t="str">
        <f aca="false">IF($A486="","",IF(OR($B486="",$C486=""),"Von und Bis eintragen",IF($C486&lt;$B486,"Bis liegt vor Von",IF(ISNA(MATCH($A486,Team!$A$5:$A$64,0)),"Name fehlt im Blatt Team",IF(COUNTIFS($A$6:$A$605,$A486,$B$6:$B$605,"&lt;="&amp;$C486,$C$6:$C$605,"&gt;="&amp;$B486)&gt;1,"Überschneidet sich mit eigenem Wunsch",IF(OR($B486&lt;Einstellungen!$B$3,$C486&gt;Einstellungen!$B$4),"Teils außerhalb des Planungsjahres","ok"))))))</f>
        <v/>
      </c>
      <c r="J486" s="14"/>
    </row>
    <row r="487" customFormat="false" ht="15" hidden="false" customHeight="false" outlineLevel="0" collapsed="false">
      <c r="A487" s="15"/>
      <c r="B487" s="14"/>
      <c r="C487" s="14"/>
      <c r="D487" s="15"/>
      <c r="E487" s="15"/>
      <c r="F487" s="12" t="str">
        <f aca="false">IF($A487="","",IFERROR(INDEX(Team!$B$5:$B$64,MATCH($A487,Team!$A$5:$A$64,0)),"?"))</f>
        <v/>
      </c>
      <c r="G487" s="13" t="str">
        <f aca="false">IF($A487="","",COUNTIF($A$6:$A487,$A487)&amp;". Wunsch")</f>
        <v/>
      </c>
      <c r="H487" s="13" t="str">
        <f aca="false">IF(OR($A487="",$B487="",$C487="",$C487&lt;$B487),"",NETWORKDAYS($B487,$C487,Einstellungen!$N$7:$N$40))</f>
        <v/>
      </c>
      <c r="I487" s="12" t="str">
        <f aca="false">IF($A487="","",IF(OR($B487="",$C487=""),"Von und Bis eintragen",IF($C487&lt;$B487,"Bis liegt vor Von",IF(ISNA(MATCH($A487,Team!$A$5:$A$64,0)),"Name fehlt im Blatt Team",IF(COUNTIFS($A$6:$A$605,$A487,$B$6:$B$605,"&lt;="&amp;$C487,$C$6:$C$605,"&gt;="&amp;$B487)&gt;1,"Überschneidet sich mit eigenem Wunsch",IF(OR($B487&lt;Einstellungen!$B$3,$C487&gt;Einstellungen!$B$4),"Teils außerhalb des Planungsjahres","ok"))))))</f>
        <v/>
      </c>
      <c r="J487" s="14"/>
    </row>
    <row r="488" customFormat="false" ht="15" hidden="false" customHeight="false" outlineLevel="0" collapsed="false">
      <c r="A488" s="15"/>
      <c r="B488" s="14"/>
      <c r="C488" s="14"/>
      <c r="D488" s="15"/>
      <c r="E488" s="15"/>
      <c r="F488" s="12" t="str">
        <f aca="false">IF($A488="","",IFERROR(INDEX(Team!$B$5:$B$64,MATCH($A488,Team!$A$5:$A$64,0)),"?"))</f>
        <v/>
      </c>
      <c r="G488" s="13" t="str">
        <f aca="false">IF($A488="","",COUNTIF($A$6:$A488,$A488)&amp;". Wunsch")</f>
        <v/>
      </c>
      <c r="H488" s="13" t="str">
        <f aca="false">IF(OR($A488="",$B488="",$C488="",$C488&lt;$B488),"",NETWORKDAYS($B488,$C488,Einstellungen!$N$7:$N$40))</f>
        <v/>
      </c>
      <c r="I488" s="12" t="str">
        <f aca="false">IF($A488="","",IF(OR($B488="",$C488=""),"Von und Bis eintragen",IF($C488&lt;$B488,"Bis liegt vor Von",IF(ISNA(MATCH($A488,Team!$A$5:$A$64,0)),"Name fehlt im Blatt Team",IF(COUNTIFS($A$6:$A$605,$A488,$B$6:$B$605,"&lt;="&amp;$C488,$C$6:$C$605,"&gt;="&amp;$B488)&gt;1,"Überschneidet sich mit eigenem Wunsch",IF(OR($B488&lt;Einstellungen!$B$3,$C488&gt;Einstellungen!$B$4),"Teils außerhalb des Planungsjahres","ok"))))))</f>
        <v/>
      </c>
      <c r="J488" s="14"/>
    </row>
    <row r="489" customFormat="false" ht="15" hidden="false" customHeight="false" outlineLevel="0" collapsed="false">
      <c r="A489" s="15"/>
      <c r="B489" s="14"/>
      <c r="C489" s="14"/>
      <c r="D489" s="15"/>
      <c r="E489" s="15"/>
      <c r="F489" s="12" t="str">
        <f aca="false">IF($A489="","",IFERROR(INDEX(Team!$B$5:$B$64,MATCH($A489,Team!$A$5:$A$64,0)),"?"))</f>
        <v/>
      </c>
      <c r="G489" s="13" t="str">
        <f aca="false">IF($A489="","",COUNTIF($A$6:$A489,$A489)&amp;". Wunsch")</f>
        <v/>
      </c>
      <c r="H489" s="13" t="str">
        <f aca="false">IF(OR($A489="",$B489="",$C489="",$C489&lt;$B489),"",NETWORKDAYS($B489,$C489,Einstellungen!$N$7:$N$40))</f>
        <v/>
      </c>
      <c r="I489" s="12" t="str">
        <f aca="false">IF($A489="","",IF(OR($B489="",$C489=""),"Von und Bis eintragen",IF($C489&lt;$B489,"Bis liegt vor Von",IF(ISNA(MATCH($A489,Team!$A$5:$A$64,0)),"Name fehlt im Blatt Team",IF(COUNTIFS($A$6:$A$605,$A489,$B$6:$B$605,"&lt;="&amp;$C489,$C$6:$C$605,"&gt;="&amp;$B489)&gt;1,"Überschneidet sich mit eigenem Wunsch",IF(OR($B489&lt;Einstellungen!$B$3,$C489&gt;Einstellungen!$B$4),"Teils außerhalb des Planungsjahres","ok"))))))</f>
        <v/>
      </c>
      <c r="J489" s="14"/>
    </row>
    <row r="490" customFormat="false" ht="15" hidden="false" customHeight="false" outlineLevel="0" collapsed="false">
      <c r="A490" s="15"/>
      <c r="B490" s="14"/>
      <c r="C490" s="14"/>
      <c r="D490" s="15"/>
      <c r="E490" s="15"/>
      <c r="F490" s="12" t="str">
        <f aca="false">IF($A490="","",IFERROR(INDEX(Team!$B$5:$B$64,MATCH($A490,Team!$A$5:$A$64,0)),"?"))</f>
        <v/>
      </c>
      <c r="G490" s="13" t="str">
        <f aca="false">IF($A490="","",COUNTIF($A$6:$A490,$A490)&amp;". Wunsch")</f>
        <v/>
      </c>
      <c r="H490" s="13" t="str">
        <f aca="false">IF(OR($A490="",$B490="",$C490="",$C490&lt;$B490),"",NETWORKDAYS($B490,$C490,Einstellungen!$N$7:$N$40))</f>
        <v/>
      </c>
      <c r="I490" s="12" t="str">
        <f aca="false">IF($A490="","",IF(OR($B490="",$C490=""),"Von und Bis eintragen",IF($C490&lt;$B490,"Bis liegt vor Von",IF(ISNA(MATCH($A490,Team!$A$5:$A$64,0)),"Name fehlt im Blatt Team",IF(COUNTIFS($A$6:$A$605,$A490,$B$6:$B$605,"&lt;="&amp;$C490,$C$6:$C$605,"&gt;="&amp;$B490)&gt;1,"Überschneidet sich mit eigenem Wunsch",IF(OR($B490&lt;Einstellungen!$B$3,$C490&gt;Einstellungen!$B$4),"Teils außerhalb des Planungsjahres","ok"))))))</f>
        <v/>
      </c>
      <c r="J490" s="14"/>
    </row>
    <row r="491" customFormat="false" ht="15" hidden="false" customHeight="false" outlineLevel="0" collapsed="false">
      <c r="A491" s="15"/>
      <c r="B491" s="14"/>
      <c r="C491" s="14"/>
      <c r="D491" s="15"/>
      <c r="E491" s="15"/>
      <c r="F491" s="12" t="str">
        <f aca="false">IF($A491="","",IFERROR(INDEX(Team!$B$5:$B$64,MATCH($A491,Team!$A$5:$A$64,0)),"?"))</f>
        <v/>
      </c>
      <c r="G491" s="13" t="str">
        <f aca="false">IF($A491="","",COUNTIF($A$6:$A491,$A491)&amp;". Wunsch")</f>
        <v/>
      </c>
      <c r="H491" s="13" t="str">
        <f aca="false">IF(OR($A491="",$B491="",$C491="",$C491&lt;$B491),"",NETWORKDAYS($B491,$C491,Einstellungen!$N$7:$N$40))</f>
        <v/>
      </c>
      <c r="I491" s="12" t="str">
        <f aca="false">IF($A491="","",IF(OR($B491="",$C491=""),"Von und Bis eintragen",IF($C491&lt;$B491,"Bis liegt vor Von",IF(ISNA(MATCH($A491,Team!$A$5:$A$64,0)),"Name fehlt im Blatt Team",IF(COUNTIFS($A$6:$A$605,$A491,$B$6:$B$605,"&lt;="&amp;$C491,$C$6:$C$605,"&gt;="&amp;$B491)&gt;1,"Überschneidet sich mit eigenem Wunsch",IF(OR($B491&lt;Einstellungen!$B$3,$C491&gt;Einstellungen!$B$4),"Teils außerhalb des Planungsjahres","ok"))))))</f>
        <v/>
      </c>
      <c r="J491" s="14"/>
    </row>
    <row r="492" customFormat="false" ht="15" hidden="false" customHeight="false" outlineLevel="0" collapsed="false">
      <c r="A492" s="15"/>
      <c r="B492" s="14"/>
      <c r="C492" s="14"/>
      <c r="D492" s="15"/>
      <c r="E492" s="15"/>
      <c r="F492" s="12" t="str">
        <f aca="false">IF($A492="","",IFERROR(INDEX(Team!$B$5:$B$64,MATCH($A492,Team!$A$5:$A$64,0)),"?"))</f>
        <v/>
      </c>
      <c r="G492" s="13" t="str">
        <f aca="false">IF($A492="","",COUNTIF($A$6:$A492,$A492)&amp;". Wunsch")</f>
        <v/>
      </c>
      <c r="H492" s="13" t="str">
        <f aca="false">IF(OR($A492="",$B492="",$C492="",$C492&lt;$B492),"",NETWORKDAYS($B492,$C492,Einstellungen!$N$7:$N$40))</f>
        <v/>
      </c>
      <c r="I492" s="12" t="str">
        <f aca="false">IF($A492="","",IF(OR($B492="",$C492=""),"Von und Bis eintragen",IF($C492&lt;$B492,"Bis liegt vor Von",IF(ISNA(MATCH($A492,Team!$A$5:$A$64,0)),"Name fehlt im Blatt Team",IF(COUNTIFS($A$6:$A$605,$A492,$B$6:$B$605,"&lt;="&amp;$C492,$C$6:$C$605,"&gt;="&amp;$B492)&gt;1,"Überschneidet sich mit eigenem Wunsch",IF(OR($B492&lt;Einstellungen!$B$3,$C492&gt;Einstellungen!$B$4),"Teils außerhalb des Planungsjahres","ok"))))))</f>
        <v/>
      </c>
      <c r="J492" s="14"/>
    </row>
    <row r="493" customFormat="false" ht="15" hidden="false" customHeight="false" outlineLevel="0" collapsed="false">
      <c r="A493" s="15"/>
      <c r="B493" s="14"/>
      <c r="C493" s="14"/>
      <c r="D493" s="15"/>
      <c r="E493" s="15"/>
      <c r="F493" s="12" t="str">
        <f aca="false">IF($A493="","",IFERROR(INDEX(Team!$B$5:$B$64,MATCH($A493,Team!$A$5:$A$64,0)),"?"))</f>
        <v/>
      </c>
      <c r="G493" s="13" t="str">
        <f aca="false">IF($A493="","",COUNTIF($A$6:$A493,$A493)&amp;". Wunsch")</f>
        <v/>
      </c>
      <c r="H493" s="13" t="str">
        <f aca="false">IF(OR($A493="",$B493="",$C493="",$C493&lt;$B493),"",NETWORKDAYS($B493,$C493,Einstellungen!$N$7:$N$40))</f>
        <v/>
      </c>
      <c r="I493" s="12" t="str">
        <f aca="false">IF($A493="","",IF(OR($B493="",$C493=""),"Von und Bis eintragen",IF($C493&lt;$B493,"Bis liegt vor Von",IF(ISNA(MATCH($A493,Team!$A$5:$A$64,0)),"Name fehlt im Blatt Team",IF(COUNTIFS($A$6:$A$605,$A493,$B$6:$B$605,"&lt;="&amp;$C493,$C$6:$C$605,"&gt;="&amp;$B493)&gt;1,"Überschneidet sich mit eigenem Wunsch",IF(OR($B493&lt;Einstellungen!$B$3,$C493&gt;Einstellungen!$B$4),"Teils außerhalb des Planungsjahres","ok"))))))</f>
        <v/>
      </c>
      <c r="J493" s="14"/>
    </row>
    <row r="494" customFormat="false" ht="15" hidden="false" customHeight="false" outlineLevel="0" collapsed="false">
      <c r="A494" s="15"/>
      <c r="B494" s="14"/>
      <c r="C494" s="14"/>
      <c r="D494" s="15"/>
      <c r="E494" s="15"/>
      <c r="F494" s="12" t="str">
        <f aca="false">IF($A494="","",IFERROR(INDEX(Team!$B$5:$B$64,MATCH($A494,Team!$A$5:$A$64,0)),"?"))</f>
        <v/>
      </c>
      <c r="G494" s="13" t="str">
        <f aca="false">IF($A494="","",COUNTIF($A$6:$A494,$A494)&amp;". Wunsch")</f>
        <v/>
      </c>
      <c r="H494" s="13" t="str">
        <f aca="false">IF(OR($A494="",$B494="",$C494="",$C494&lt;$B494),"",NETWORKDAYS($B494,$C494,Einstellungen!$N$7:$N$40))</f>
        <v/>
      </c>
      <c r="I494" s="12" t="str">
        <f aca="false">IF($A494="","",IF(OR($B494="",$C494=""),"Von und Bis eintragen",IF($C494&lt;$B494,"Bis liegt vor Von",IF(ISNA(MATCH($A494,Team!$A$5:$A$64,0)),"Name fehlt im Blatt Team",IF(COUNTIFS($A$6:$A$605,$A494,$B$6:$B$605,"&lt;="&amp;$C494,$C$6:$C$605,"&gt;="&amp;$B494)&gt;1,"Überschneidet sich mit eigenem Wunsch",IF(OR($B494&lt;Einstellungen!$B$3,$C494&gt;Einstellungen!$B$4),"Teils außerhalb des Planungsjahres","ok"))))))</f>
        <v/>
      </c>
      <c r="J494" s="14"/>
    </row>
    <row r="495" customFormat="false" ht="15" hidden="false" customHeight="false" outlineLevel="0" collapsed="false">
      <c r="A495" s="15"/>
      <c r="B495" s="14"/>
      <c r="C495" s="14"/>
      <c r="D495" s="15"/>
      <c r="E495" s="15"/>
      <c r="F495" s="12" t="str">
        <f aca="false">IF($A495="","",IFERROR(INDEX(Team!$B$5:$B$64,MATCH($A495,Team!$A$5:$A$64,0)),"?"))</f>
        <v/>
      </c>
      <c r="G495" s="13" t="str">
        <f aca="false">IF($A495="","",COUNTIF($A$6:$A495,$A495)&amp;". Wunsch")</f>
        <v/>
      </c>
      <c r="H495" s="13" t="str">
        <f aca="false">IF(OR($A495="",$B495="",$C495="",$C495&lt;$B495),"",NETWORKDAYS($B495,$C495,Einstellungen!$N$7:$N$40))</f>
        <v/>
      </c>
      <c r="I495" s="12" t="str">
        <f aca="false">IF($A495="","",IF(OR($B495="",$C495=""),"Von und Bis eintragen",IF($C495&lt;$B495,"Bis liegt vor Von",IF(ISNA(MATCH($A495,Team!$A$5:$A$64,0)),"Name fehlt im Blatt Team",IF(COUNTIFS($A$6:$A$605,$A495,$B$6:$B$605,"&lt;="&amp;$C495,$C$6:$C$605,"&gt;="&amp;$B495)&gt;1,"Überschneidet sich mit eigenem Wunsch",IF(OR($B495&lt;Einstellungen!$B$3,$C495&gt;Einstellungen!$B$4),"Teils außerhalb des Planungsjahres","ok"))))))</f>
        <v/>
      </c>
      <c r="J495" s="14"/>
    </row>
    <row r="496" customFormat="false" ht="15" hidden="false" customHeight="false" outlineLevel="0" collapsed="false">
      <c r="A496" s="15"/>
      <c r="B496" s="14"/>
      <c r="C496" s="14"/>
      <c r="D496" s="15"/>
      <c r="E496" s="15"/>
      <c r="F496" s="12" t="str">
        <f aca="false">IF($A496="","",IFERROR(INDEX(Team!$B$5:$B$64,MATCH($A496,Team!$A$5:$A$64,0)),"?"))</f>
        <v/>
      </c>
      <c r="G496" s="13" t="str">
        <f aca="false">IF($A496="","",COUNTIF($A$6:$A496,$A496)&amp;". Wunsch")</f>
        <v/>
      </c>
      <c r="H496" s="13" t="str">
        <f aca="false">IF(OR($A496="",$B496="",$C496="",$C496&lt;$B496),"",NETWORKDAYS($B496,$C496,Einstellungen!$N$7:$N$40))</f>
        <v/>
      </c>
      <c r="I496" s="12" t="str">
        <f aca="false">IF($A496="","",IF(OR($B496="",$C496=""),"Von und Bis eintragen",IF($C496&lt;$B496,"Bis liegt vor Von",IF(ISNA(MATCH($A496,Team!$A$5:$A$64,0)),"Name fehlt im Blatt Team",IF(COUNTIFS($A$6:$A$605,$A496,$B$6:$B$605,"&lt;="&amp;$C496,$C$6:$C$605,"&gt;="&amp;$B496)&gt;1,"Überschneidet sich mit eigenem Wunsch",IF(OR($B496&lt;Einstellungen!$B$3,$C496&gt;Einstellungen!$B$4),"Teils außerhalb des Planungsjahres","ok"))))))</f>
        <v/>
      </c>
      <c r="J496" s="14"/>
    </row>
    <row r="497" customFormat="false" ht="15" hidden="false" customHeight="false" outlineLevel="0" collapsed="false">
      <c r="A497" s="15"/>
      <c r="B497" s="14"/>
      <c r="C497" s="14"/>
      <c r="D497" s="15"/>
      <c r="E497" s="15"/>
      <c r="F497" s="12" t="str">
        <f aca="false">IF($A497="","",IFERROR(INDEX(Team!$B$5:$B$64,MATCH($A497,Team!$A$5:$A$64,0)),"?"))</f>
        <v/>
      </c>
      <c r="G497" s="13" t="str">
        <f aca="false">IF($A497="","",COUNTIF($A$6:$A497,$A497)&amp;". Wunsch")</f>
        <v/>
      </c>
      <c r="H497" s="13" t="str">
        <f aca="false">IF(OR($A497="",$B497="",$C497="",$C497&lt;$B497),"",NETWORKDAYS($B497,$C497,Einstellungen!$N$7:$N$40))</f>
        <v/>
      </c>
      <c r="I497" s="12" t="str">
        <f aca="false">IF($A497="","",IF(OR($B497="",$C497=""),"Von und Bis eintragen",IF($C497&lt;$B497,"Bis liegt vor Von",IF(ISNA(MATCH($A497,Team!$A$5:$A$64,0)),"Name fehlt im Blatt Team",IF(COUNTIFS($A$6:$A$605,$A497,$B$6:$B$605,"&lt;="&amp;$C497,$C$6:$C$605,"&gt;="&amp;$B497)&gt;1,"Überschneidet sich mit eigenem Wunsch",IF(OR($B497&lt;Einstellungen!$B$3,$C497&gt;Einstellungen!$B$4),"Teils außerhalb des Planungsjahres","ok"))))))</f>
        <v/>
      </c>
      <c r="J497" s="14"/>
    </row>
    <row r="498" customFormat="false" ht="15" hidden="false" customHeight="false" outlineLevel="0" collapsed="false">
      <c r="A498" s="15"/>
      <c r="B498" s="14"/>
      <c r="C498" s="14"/>
      <c r="D498" s="15"/>
      <c r="E498" s="15"/>
      <c r="F498" s="12" t="str">
        <f aca="false">IF($A498="","",IFERROR(INDEX(Team!$B$5:$B$64,MATCH($A498,Team!$A$5:$A$64,0)),"?"))</f>
        <v/>
      </c>
      <c r="G498" s="13" t="str">
        <f aca="false">IF($A498="","",COUNTIF($A$6:$A498,$A498)&amp;". Wunsch")</f>
        <v/>
      </c>
      <c r="H498" s="13" t="str">
        <f aca="false">IF(OR($A498="",$B498="",$C498="",$C498&lt;$B498),"",NETWORKDAYS($B498,$C498,Einstellungen!$N$7:$N$40))</f>
        <v/>
      </c>
      <c r="I498" s="12" t="str">
        <f aca="false">IF($A498="","",IF(OR($B498="",$C498=""),"Von und Bis eintragen",IF($C498&lt;$B498,"Bis liegt vor Von",IF(ISNA(MATCH($A498,Team!$A$5:$A$64,0)),"Name fehlt im Blatt Team",IF(COUNTIFS($A$6:$A$605,$A498,$B$6:$B$605,"&lt;="&amp;$C498,$C$6:$C$605,"&gt;="&amp;$B498)&gt;1,"Überschneidet sich mit eigenem Wunsch",IF(OR($B498&lt;Einstellungen!$B$3,$C498&gt;Einstellungen!$B$4),"Teils außerhalb des Planungsjahres","ok"))))))</f>
        <v/>
      </c>
      <c r="J498" s="14"/>
    </row>
    <row r="499" customFormat="false" ht="15" hidden="false" customHeight="false" outlineLevel="0" collapsed="false">
      <c r="A499" s="15"/>
      <c r="B499" s="14"/>
      <c r="C499" s="14"/>
      <c r="D499" s="15"/>
      <c r="E499" s="15"/>
      <c r="F499" s="12" t="str">
        <f aca="false">IF($A499="","",IFERROR(INDEX(Team!$B$5:$B$64,MATCH($A499,Team!$A$5:$A$64,0)),"?"))</f>
        <v/>
      </c>
      <c r="G499" s="13" t="str">
        <f aca="false">IF($A499="","",COUNTIF($A$6:$A499,$A499)&amp;". Wunsch")</f>
        <v/>
      </c>
      <c r="H499" s="13" t="str">
        <f aca="false">IF(OR($A499="",$B499="",$C499="",$C499&lt;$B499),"",NETWORKDAYS($B499,$C499,Einstellungen!$N$7:$N$40))</f>
        <v/>
      </c>
      <c r="I499" s="12" t="str">
        <f aca="false">IF($A499="","",IF(OR($B499="",$C499=""),"Von und Bis eintragen",IF($C499&lt;$B499,"Bis liegt vor Von",IF(ISNA(MATCH($A499,Team!$A$5:$A$64,0)),"Name fehlt im Blatt Team",IF(COUNTIFS($A$6:$A$605,$A499,$B$6:$B$605,"&lt;="&amp;$C499,$C$6:$C$605,"&gt;="&amp;$B499)&gt;1,"Überschneidet sich mit eigenem Wunsch",IF(OR($B499&lt;Einstellungen!$B$3,$C499&gt;Einstellungen!$B$4),"Teils außerhalb des Planungsjahres","ok"))))))</f>
        <v/>
      </c>
      <c r="J499" s="14"/>
    </row>
    <row r="500" customFormat="false" ht="15" hidden="false" customHeight="false" outlineLevel="0" collapsed="false">
      <c r="A500" s="15"/>
      <c r="B500" s="14"/>
      <c r="C500" s="14"/>
      <c r="D500" s="15"/>
      <c r="E500" s="15"/>
      <c r="F500" s="12" t="str">
        <f aca="false">IF($A500="","",IFERROR(INDEX(Team!$B$5:$B$64,MATCH($A500,Team!$A$5:$A$64,0)),"?"))</f>
        <v/>
      </c>
      <c r="G500" s="13" t="str">
        <f aca="false">IF($A500="","",COUNTIF($A$6:$A500,$A500)&amp;". Wunsch")</f>
        <v/>
      </c>
      <c r="H500" s="13" t="str">
        <f aca="false">IF(OR($A500="",$B500="",$C500="",$C500&lt;$B500),"",NETWORKDAYS($B500,$C500,Einstellungen!$N$7:$N$40))</f>
        <v/>
      </c>
      <c r="I500" s="12" t="str">
        <f aca="false">IF($A500="","",IF(OR($B500="",$C500=""),"Von und Bis eintragen",IF($C500&lt;$B500,"Bis liegt vor Von",IF(ISNA(MATCH($A500,Team!$A$5:$A$64,0)),"Name fehlt im Blatt Team",IF(COUNTIFS($A$6:$A$605,$A500,$B$6:$B$605,"&lt;="&amp;$C500,$C$6:$C$605,"&gt;="&amp;$B500)&gt;1,"Überschneidet sich mit eigenem Wunsch",IF(OR($B500&lt;Einstellungen!$B$3,$C500&gt;Einstellungen!$B$4),"Teils außerhalb des Planungsjahres","ok"))))))</f>
        <v/>
      </c>
      <c r="J500" s="14"/>
    </row>
    <row r="501" customFormat="false" ht="15" hidden="false" customHeight="false" outlineLevel="0" collapsed="false">
      <c r="A501" s="15"/>
      <c r="B501" s="14"/>
      <c r="C501" s="14"/>
      <c r="D501" s="15"/>
      <c r="E501" s="15"/>
      <c r="F501" s="12" t="str">
        <f aca="false">IF($A501="","",IFERROR(INDEX(Team!$B$5:$B$64,MATCH($A501,Team!$A$5:$A$64,0)),"?"))</f>
        <v/>
      </c>
      <c r="G501" s="13" t="str">
        <f aca="false">IF($A501="","",COUNTIF($A$6:$A501,$A501)&amp;". Wunsch")</f>
        <v/>
      </c>
      <c r="H501" s="13" t="str">
        <f aca="false">IF(OR($A501="",$B501="",$C501="",$C501&lt;$B501),"",NETWORKDAYS($B501,$C501,Einstellungen!$N$7:$N$40))</f>
        <v/>
      </c>
      <c r="I501" s="12" t="str">
        <f aca="false">IF($A501="","",IF(OR($B501="",$C501=""),"Von und Bis eintragen",IF($C501&lt;$B501,"Bis liegt vor Von",IF(ISNA(MATCH($A501,Team!$A$5:$A$64,0)),"Name fehlt im Blatt Team",IF(COUNTIFS($A$6:$A$605,$A501,$B$6:$B$605,"&lt;="&amp;$C501,$C$6:$C$605,"&gt;="&amp;$B501)&gt;1,"Überschneidet sich mit eigenem Wunsch",IF(OR($B501&lt;Einstellungen!$B$3,$C501&gt;Einstellungen!$B$4),"Teils außerhalb des Planungsjahres","ok"))))))</f>
        <v/>
      </c>
      <c r="J501" s="14"/>
    </row>
    <row r="502" customFormat="false" ht="15" hidden="false" customHeight="false" outlineLevel="0" collapsed="false">
      <c r="A502" s="15"/>
      <c r="B502" s="14"/>
      <c r="C502" s="14"/>
      <c r="D502" s="15"/>
      <c r="E502" s="15"/>
      <c r="F502" s="12" t="str">
        <f aca="false">IF($A502="","",IFERROR(INDEX(Team!$B$5:$B$64,MATCH($A502,Team!$A$5:$A$64,0)),"?"))</f>
        <v/>
      </c>
      <c r="G502" s="13" t="str">
        <f aca="false">IF($A502="","",COUNTIF($A$6:$A502,$A502)&amp;". Wunsch")</f>
        <v/>
      </c>
      <c r="H502" s="13" t="str">
        <f aca="false">IF(OR($A502="",$B502="",$C502="",$C502&lt;$B502),"",NETWORKDAYS($B502,$C502,Einstellungen!$N$7:$N$40))</f>
        <v/>
      </c>
      <c r="I502" s="12" t="str">
        <f aca="false">IF($A502="","",IF(OR($B502="",$C502=""),"Von und Bis eintragen",IF($C502&lt;$B502,"Bis liegt vor Von",IF(ISNA(MATCH($A502,Team!$A$5:$A$64,0)),"Name fehlt im Blatt Team",IF(COUNTIFS($A$6:$A$605,$A502,$B$6:$B$605,"&lt;="&amp;$C502,$C$6:$C$605,"&gt;="&amp;$B502)&gt;1,"Überschneidet sich mit eigenem Wunsch",IF(OR($B502&lt;Einstellungen!$B$3,$C502&gt;Einstellungen!$B$4),"Teils außerhalb des Planungsjahres","ok"))))))</f>
        <v/>
      </c>
      <c r="J502" s="14"/>
    </row>
    <row r="503" customFormat="false" ht="15" hidden="false" customHeight="false" outlineLevel="0" collapsed="false">
      <c r="A503" s="15"/>
      <c r="B503" s="14"/>
      <c r="C503" s="14"/>
      <c r="D503" s="15"/>
      <c r="E503" s="15"/>
      <c r="F503" s="12" t="str">
        <f aca="false">IF($A503="","",IFERROR(INDEX(Team!$B$5:$B$64,MATCH($A503,Team!$A$5:$A$64,0)),"?"))</f>
        <v/>
      </c>
      <c r="G503" s="13" t="str">
        <f aca="false">IF($A503="","",COUNTIF($A$6:$A503,$A503)&amp;". Wunsch")</f>
        <v/>
      </c>
      <c r="H503" s="13" t="str">
        <f aca="false">IF(OR($A503="",$B503="",$C503="",$C503&lt;$B503),"",NETWORKDAYS($B503,$C503,Einstellungen!$N$7:$N$40))</f>
        <v/>
      </c>
      <c r="I503" s="12" t="str">
        <f aca="false">IF($A503="","",IF(OR($B503="",$C503=""),"Von und Bis eintragen",IF($C503&lt;$B503,"Bis liegt vor Von",IF(ISNA(MATCH($A503,Team!$A$5:$A$64,0)),"Name fehlt im Blatt Team",IF(COUNTIFS($A$6:$A$605,$A503,$B$6:$B$605,"&lt;="&amp;$C503,$C$6:$C$605,"&gt;="&amp;$B503)&gt;1,"Überschneidet sich mit eigenem Wunsch",IF(OR($B503&lt;Einstellungen!$B$3,$C503&gt;Einstellungen!$B$4),"Teils außerhalb des Planungsjahres","ok"))))))</f>
        <v/>
      </c>
      <c r="J503" s="14"/>
    </row>
    <row r="504" customFormat="false" ht="15" hidden="false" customHeight="false" outlineLevel="0" collapsed="false">
      <c r="A504" s="15"/>
      <c r="B504" s="14"/>
      <c r="C504" s="14"/>
      <c r="D504" s="15"/>
      <c r="E504" s="15"/>
      <c r="F504" s="12" t="str">
        <f aca="false">IF($A504="","",IFERROR(INDEX(Team!$B$5:$B$64,MATCH($A504,Team!$A$5:$A$64,0)),"?"))</f>
        <v/>
      </c>
      <c r="G504" s="13" t="str">
        <f aca="false">IF($A504="","",COUNTIF($A$6:$A504,$A504)&amp;". Wunsch")</f>
        <v/>
      </c>
      <c r="H504" s="13" t="str">
        <f aca="false">IF(OR($A504="",$B504="",$C504="",$C504&lt;$B504),"",NETWORKDAYS($B504,$C504,Einstellungen!$N$7:$N$40))</f>
        <v/>
      </c>
      <c r="I504" s="12" t="str">
        <f aca="false">IF($A504="","",IF(OR($B504="",$C504=""),"Von und Bis eintragen",IF($C504&lt;$B504,"Bis liegt vor Von",IF(ISNA(MATCH($A504,Team!$A$5:$A$64,0)),"Name fehlt im Blatt Team",IF(COUNTIFS($A$6:$A$605,$A504,$B$6:$B$605,"&lt;="&amp;$C504,$C$6:$C$605,"&gt;="&amp;$B504)&gt;1,"Überschneidet sich mit eigenem Wunsch",IF(OR($B504&lt;Einstellungen!$B$3,$C504&gt;Einstellungen!$B$4),"Teils außerhalb des Planungsjahres","ok"))))))</f>
        <v/>
      </c>
      <c r="J504" s="14"/>
    </row>
    <row r="505" customFormat="false" ht="15" hidden="false" customHeight="false" outlineLevel="0" collapsed="false">
      <c r="A505" s="15"/>
      <c r="B505" s="14"/>
      <c r="C505" s="14"/>
      <c r="D505" s="15"/>
      <c r="E505" s="15"/>
      <c r="F505" s="12" t="str">
        <f aca="false">IF($A505="","",IFERROR(INDEX(Team!$B$5:$B$64,MATCH($A505,Team!$A$5:$A$64,0)),"?"))</f>
        <v/>
      </c>
      <c r="G505" s="13" t="str">
        <f aca="false">IF($A505="","",COUNTIF($A$6:$A505,$A505)&amp;". Wunsch")</f>
        <v/>
      </c>
      <c r="H505" s="13" t="str">
        <f aca="false">IF(OR($A505="",$B505="",$C505="",$C505&lt;$B505),"",NETWORKDAYS($B505,$C505,Einstellungen!$N$7:$N$40))</f>
        <v/>
      </c>
      <c r="I505" s="12" t="str">
        <f aca="false">IF($A505="","",IF(OR($B505="",$C505=""),"Von und Bis eintragen",IF($C505&lt;$B505,"Bis liegt vor Von",IF(ISNA(MATCH($A505,Team!$A$5:$A$64,0)),"Name fehlt im Blatt Team",IF(COUNTIFS($A$6:$A$605,$A505,$B$6:$B$605,"&lt;="&amp;$C505,$C$6:$C$605,"&gt;="&amp;$B505)&gt;1,"Überschneidet sich mit eigenem Wunsch",IF(OR($B505&lt;Einstellungen!$B$3,$C505&gt;Einstellungen!$B$4),"Teils außerhalb des Planungsjahres","ok"))))))</f>
        <v/>
      </c>
      <c r="J505" s="14"/>
    </row>
    <row r="506" customFormat="false" ht="15" hidden="false" customHeight="false" outlineLevel="0" collapsed="false">
      <c r="A506" s="15"/>
      <c r="B506" s="14"/>
      <c r="C506" s="14"/>
      <c r="D506" s="15"/>
      <c r="E506" s="15"/>
      <c r="F506" s="12" t="str">
        <f aca="false">IF($A506="","",IFERROR(INDEX(Team!$B$5:$B$64,MATCH($A506,Team!$A$5:$A$64,0)),"?"))</f>
        <v/>
      </c>
      <c r="G506" s="13" t="str">
        <f aca="false">IF($A506="","",COUNTIF($A$6:$A506,$A506)&amp;". Wunsch")</f>
        <v/>
      </c>
      <c r="H506" s="13" t="str">
        <f aca="false">IF(OR($A506="",$B506="",$C506="",$C506&lt;$B506),"",NETWORKDAYS($B506,$C506,Einstellungen!$N$7:$N$40))</f>
        <v/>
      </c>
      <c r="I506" s="12" t="str">
        <f aca="false">IF($A506="","",IF(OR($B506="",$C506=""),"Von und Bis eintragen",IF($C506&lt;$B506,"Bis liegt vor Von",IF(ISNA(MATCH($A506,Team!$A$5:$A$64,0)),"Name fehlt im Blatt Team",IF(COUNTIFS($A$6:$A$605,$A506,$B$6:$B$605,"&lt;="&amp;$C506,$C$6:$C$605,"&gt;="&amp;$B506)&gt;1,"Überschneidet sich mit eigenem Wunsch",IF(OR($B506&lt;Einstellungen!$B$3,$C506&gt;Einstellungen!$B$4),"Teils außerhalb des Planungsjahres","ok"))))))</f>
        <v/>
      </c>
      <c r="J506" s="14"/>
    </row>
    <row r="507" customFormat="false" ht="15" hidden="false" customHeight="false" outlineLevel="0" collapsed="false">
      <c r="A507" s="15"/>
      <c r="B507" s="14"/>
      <c r="C507" s="14"/>
      <c r="D507" s="15"/>
      <c r="E507" s="15"/>
      <c r="F507" s="12" t="str">
        <f aca="false">IF($A507="","",IFERROR(INDEX(Team!$B$5:$B$64,MATCH($A507,Team!$A$5:$A$64,0)),"?"))</f>
        <v/>
      </c>
      <c r="G507" s="13" t="str">
        <f aca="false">IF($A507="","",COUNTIF($A$6:$A507,$A507)&amp;". Wunsch")</f>
        <v/>
      </c>
      <c r="H507" s="13" t="str">
        <f aca="false">IF(OR($A507="",$B507="",$C507="",$C507&lt;$B507),"",NETWORKDAYS($B507,$C507,Einstellungen!$N$7:$N$40))</f>
        <v/>
      </c>
      <c r="I507" s="12" t="str">
        <f aca="false">IF($A507="","",IF(OR($B507="",$C507=""),"Von und Bis eintragen",IF($C507&lt;$B507,"Bis liegt vor Von",IF(ISNA(MATCH($A507,Team!$A$5:$A$64,0)),"Name fehlt im Blatt Team",IF(COUNTIFS($A$6:$A$605,$A507,$B$6:$B$605,"&lt;="&amp;$C507,$C$6:$C$605,"&gt;="&amp;$B507)&gt;1,"Überschneidet sich mit eigenem Wunsch",IF(OR($B507&lt;Einstellungen!$B$3,$C507&gt;Einstellungen!$B$4),"Teils außerhalb des Planungsjahres","ok"))))))</f>
        <v/>
      </c>
      <c r="J507" s="14"/>
    </row>
    <row r="508" customFormat="false" ht="15" hidden="false" customHeight="false" outlineLevel="0" collapsed="false">
      <c r="A508" s="15"/>
      <c r="B508" s="14"/>
      <c r="C508" s="14"/>
      <c r="D508" s="15"/>
      <c r="E508" s="15"/>
      <c r="F508" s="12" t="str">
        <f aca="false">IF($A508="","",IFERROR(INDEX(Team!$B$5:$B$64,MATCH($A508,Team!$A$5:$A$64,0)),"?"))</f>
        <v/>
      </c>
      <c r="G508" s="13" t="str">
        <f aca="false">IF($A508="","",COUNTIF($A$6:$A508,$A508)&amp;". Wunsch")</f>
        <v/>
      </c>
      <c r="H508" s="13" t="str">
        <f aca="false">IF(OR($A508="",$B508="",$C508="",$C508&lt;$B508),"",NETWORKDAYS($B508,$C508,Einstellungen!$N$7:$N$40))</f>
        <v/>
      </c>
      <c r="I508" s="12" t="str">
        <f aca="false">IF($A508="","",IF(OR($B508="",$C508=""),"Von und Bis eintragen",IF($C508&lt;$B508,"Bis liegt vor Von",IF(ISNA(MATCH($A508,Team!$A$5:$A$64,0)),"Name fehlt im Blatt Team",IF(COUNTIFS($A$6:$A$605,$A508,$B$6:$B$605,"&lt;="&amp;$C508,$C$6:$C$605,"&gt;="&amp;$B508)&gt;1,"Überschneidet sich mit eigenem Wunsch",IF(OR($B508&lt;Einstellungen!$B$3,$C508&gt;Einstellungen!$B$4),"Teils außerhalb des Planungsjahres","ok"))))))</f>
        <v/>
      </c>
      <c r="J508" s="14"/>
    </row>
    <row r="509" customFormat="false" ht="15" hidden="false" customHeight="false" outlineLevel="0" collapsed="false">
      <c r="A509" s="15"/>
      <c r="B509" s="14"/>
      <c r="C509" s="14"/>
      <c r="D509" s="15"/>
      <c r="E509" s="15"/>
      <c r="F509" s="12" t="str">
        <f aca="false">IF($A509="","",IFERROR(INDEX(Team!$B$5:$B$64,MATCH($A509,Team!$A$5:$A$64,0)),"?"))</f>
        <v/>
      </c>
      <c r="G509" s="13" t="str">
        <f aca="false">IF($A509="","",COUNTIF($A$6:$A509,$A509)&amp;". Wunsch")</f>
        <v/>
      </c>
      <c r="H509" s="13" t="str">
        <f aca="false">IF(OR($A509="",$B509="",$C509="",$C509&lt;$B509),"",NETWORKDAYS($B509,$C509,Einstellungen!$N$7:$N$40))</f>
        <v/>
      </c>
      <c r="I509" s="12" t="str">
        <f aca="false">IF($A509="","",IF(OR($B509="",$C509=""),"Von und Bis eintragen",IF($C509&lt;$B509,"Bis liegt vor Von",IF(ISNA(MATCH($A509,Team!$A$5:$A$64,0)),"Name fehlt im Blatt Team",IF(COUNTIFS($A$6:$A$605,$A509,$B$6:$B$605,"&lt;="&amp;$C509,$C$6:$C$605,"&gt;="&amp;$B509)&gt;1,"Überschneidet sich mit eigenem Wunsch",IF(OR($B509&lt;Einstellungen!$B$3,$C509&gt;Einstellungen!$B$4),"Teils außerhalb des Planungsjahres","ok"))))))</f>
        <v/>
      </c>
      <c r="J509" s="14"/>
    </row>
    <row r="510" customFormat="false" ht="15" hidden="false" customHeight="false" outlineLevel="0" collapsed="false">
      <c r="A510" s="15"/>
      <c r="B510" s="14"/>
      <c r="C510" s="14"/>
      <c r="D510" s="15"/>
      <c r="E510" s="15"/>
      <c r="F510" s="12" t="str">
        <f aca="false">IF($A510="","",IFERROR(INDEX(Team!$B$5:$B$64,MATCH($A510,Team!$A$5:$A$64,0)),"?"))</f>
        <v/>
      </c>
      <c r="G510" s="13" t="str">
        <f aca="false">IF($A510="","",COUNTIF($A$6:$A510,$A510)&amp;". Wunsch")</f>
        <v/>
      </c>
      <c r="H510" s="13" t="str">
        <f aca="false">IF(OR($A510="",$B510="",$C510="",$C510&lt;$B510),"",NETWORKDAYS($B510,$C510,Einstellungen!$N$7:$N$40))</f>
        <v/>
      </c>
      <c r="I510" s="12" t="str">
        <f aca="false">IF($A510="","",IF(OR($B510="",$C510=""),"Von und Bis eintragen",IF($C510&lt;$B510,"Bis liegt vor Von",IF(ISNA(MATCH($A510,Team!$A$5:$A$64,0)),"Name fehlt im Blatt Team",IF(COUNTIFS($A$6:$A$605,$A510,$B$6:$B$605,"&lt;="&amp;$C510,$C$6:$C$605,"&gt;="&amp;$B510)&gt;1,"Überschneidet sich mit eigenem Wunsch",IF(OR($B510&lt;Einstellungen!$B$3,$C510&gt;Einstellungen!$B$4),"Teils außerhalb des Planungsjahres","ok"))))))</f>
        <v/>
      </c>
      <c r="J510" s="14"/>
    </row>
    <row r="511" customFormat="false" ht="15" hidden="false" customHeight="false" outlineLevel="0" collapsed="false">
      <c r="A511" s="15"/>
      <c r="B511" s="14"/>
      <c r="C511" s="14"/>
      <c r="D511" s="15"/>
      <c r="E511" s="15"/>
      <c r="F511" s="12" t="str">
        <f aca="false">IF($A511="","",IFERROR(INDEX(Team!$B$5:$B$64,MATCH($A511,Team!$A$5:$A$64,0)),"?"))</f>
        <v/>
      </c>
      <c r="G511" s="13" t="str">
        <f aca="false">IF($A511="","",COUNTIF($A$6:$A511,$A511)&amp;". Wunsch")</f>
        <v/>
      </c>
      <c r="H511" s="13" t="str">
        <f aca="false">IF(OR($A511="",$B511="",$C511="",$C511&lt;$B511),"",NETWORKDAYS($B511,$C511,Einstellungen!$N$7:$N$40))</f>
        <v/>
      </c>
      <c r="I511" s="12" t="str">
        <f aca="false">IF($A511="","",IF(OR($B511="",$C511=""),"Von und Bis eintragen",IF($C511&lt;$B511,"Bis liegt vor Von",IF(ISNA(MATCH($A511,Team!$A$5:$A$64,0)),"Name fehlt im Blatt Team",IF(COUNTIFS($A$6:$A$605,$A511,$B$6:$B$605,"&lt;="&amp;$C511,$C$6:$C$605,"&gt;="&amp;$B511)&gt;1,"Überschneidet sich mit eigenem Wunsch",IF(OR($B511&lt;Einstellungen!$B$3,$C511&gt;Einstellungen!$B$4),"Teils außerhalb des Planungsjahres","ok"))))))</f>
        <v/>
      </c>
      <c r="J511" s="14"/>
    </row>
    <row r="512" customFormat="false" ht="15" hidden="false" customHeight="false" outlineLevel="0" collapsed="false">
      <c r="A512" s="15"/>
      <c r="B512" s="14"/>
      <c r="C512" s="14"/>
      <c r="D512" s="15"/>
      <c r="E512" s="15"/>
      <c r="F512" s="12" t="str">
        <f aca="false">IF($A512="","",IFERROR(INDEX(Team!$B$5:$B$64,MATCH($A512,Team!$A$5:$A$64,0)),"?"))</f>
        <v/>
      </c>
      <c r="G512" s="13" t="str">
        <f aca="false">IF($A512="","",COUNTIF($A$6:$A512,$A512)&amp;". Wunsch")</f>
        <v/>
      </c>
      <c r="H512" s="13" t="str">
        <f aca="false">IF(OR($A512="",$B512="",$C512="",$C512&lt;$B512),"",NETWORKDAYS($B512,$C512,Einstellungen!$N$7:$N$40))</f>
        <v/>
      </c>
      <c r="I512" s="12" t="str">
        <f aca="false">IF($A512="","",IF(OR($B512="",$C512=""),"Von und Bis eintragen",IF($C512&lt;$B512,"Bis liegt vor Von",IF(ISNA(MATCH($A512,Team!$A$5:$A$64,0)),"Name fehlt im Blatt Team",IF(COUNTIFS($A$6:$A$605,$A512,$B$6:$B$605,"&lt;="&amp;$C512,$C$6:$C$605,"&gt;="&amp;$B512)&gt;1,"Überschneidet sich mit eigenem Wunsch",IF(OR($B512&lt;Einstellungen!$B$3,$C512&gt;Einstellungen!$B$4),"Teils außerhalb des Planungsjahres","ok"))))))</f>
        <v/>
      </c>
      <c r="J512" s="14"/>
    </row>
    <row r="513" customFormat="false" ht="15" hidden="false" customHeight="false" outlineLevel="0" collapsed="false">
      <c r="A513" s="15"/>
      <c r="B513" s="14"/>
      <c r="C513" s="14"/>
      <c r="D513" s="15"/>
      <c r="E513" s="15"/>
      <c r="F513" s="12" t="str">
        <f aca="false">IF($A513="","",IFERROR(INDEX(Team!$B$5:$B$64,MATCH($A513,Team!$A$5:$A$64,0)),"?"))</f>
        <v/>
      </c>
      <c r="G513" s="13" t="str">
        <f aca="false">IF($A513="","",COUNTIF($A$6:$A513,$A513)&amp;". Wunsch")</f>
        <v/>
      </c>
      <c r="H513" s="13" t="str">
        <f aca="false">IF(OR($A513="",$B513="",$C513="",$C513&lt;$B513),"",NETWORKDAYS($B513,$C513,Einstellungen!$N$7:$N$40))</f>
        <v/>
      </c>
      <c r="I513" s="12" t="str">
        <f aca="false">IF($A513="","",IF(OR($B513="",$C513=""),"Von und Bis eintragen",IF($C513&lt;$B513,"Bis liegt vor Von",IF(ISNA(MATCH($A513,Team!$A$5:$A$64,0)),"Name fehlt im Blatt Team",IF(COUNTIFS($A$6:$A$605,$A513,$B$6:$B$605,"&lt;="&amp;$C513,$C$6:$C$605,"&gt;="&amp;$B513)&gt;1,"Überschneidet sich mit eigenem Wunsch",IF(OR($B513&lt;Einstellungen!$B$3,$C513&gt;Einstellungen!$B$4),"Teils außerhalb des Planungsjahres","ok"))))))</f>
        <v/>
      </c>
      <c r="J513" s="14"/>
    </row>
    <row r="514" customFormat="false" ht="15" hidden="false" customHeight="false" outlineLevel="0" collapsed="false">
      <c r="A514" s="15"/>
      <c r="B514" s="14"/>
      <c r="C514" s="14"/>
      <c r="D514" s="15"/>
      <c r="E514" s="15"/>
      <c r="F514" s="12" t="str">
        <f aca="false">IF($A514="","",IFERROR(INDEX(Team!$B$5:$B$64,MATCH($A514,Team!$A$5:$A$64,0)),"?"))</f>
        <v/>
      </c>
      <c r="G514" s="13" t="str">
        <f aca="false">IF($A514="","",COUNTIF($A$6:$A514,$A514)&amp;". Wunsch")</f>
        <v/>
      </c>
      <c r="H514" s="13" t="str">
        <f aca="false">IF(OR($A514="",$B514="",$C514="",$C514&lt;$B514),"",NETWORKDAYS($B514,$C514,Einstellungen!$N$7:$N$40))</f>
        <v/>
      </c>
      <c r="I514" s="12" t="str">
        <f aca="false">IF($A514="","",IF(OR($B514="",$C514=""),"Von und Bis eintragen",IF($C514&lt;$B514,"Bis liegt vor Von",IF(ISNA(MATCH($A514,Team!$A$5:$A$64,0)),"Name fehlt im Blatt Team",IF(COUNTIFS($A$6:$A$605,$A514,$B$6:$B$605,"&lt;="&amp;$C514,$C$6:$C$605,"&gt;="&amp;$B514)&gt;1,"Überschneidet sich mit eigenem Wunsch",IF(OR($B514&lt;Einstellungen!$B$3,$C514&gt;Einstellungen!$B$4),"Teils außerhalb des Planungsjahres","ok"))))))</f>
        <v/>
      </c>
      <c r="J514" s="14"/>
    </row>
    <row r="515" customFormat="false" ht="15" hidden="false" customHeight="false" outlineLevel="0" collapsed="false">
      <c r="A515" s="15"/>
      <c r="B515" s="14"/>
      <c r="C515" s="14"/>
      <c r="D515" s="15"/>
      <c r="E515" s="15"/>
      <c r="F515" s="12" t="str">
        <f aca="false">IF($A515="","",IFERROR(INDEX(Team!$B$5:$B$64,MATCH($A515,Team!$A$5:$A$64,0)),"?"))</f>
        <v/>
      </c>
      <c r="G515" s="13" t="str">
        <f aca="false">IF($A515="","",COUNTIF($A$6:$A515,$A515)&amp;". Wunsch")</f>
        <v/>
      </c>
      <c r="H515" s="13" t="str">
        <f aca="false">IF(OR($A515="",$B515="",$C515="",$C515&lt;$B515),"",NETWORKDAYS($B515,$C515,Einstellungen!$N$7:$N$40))</f>
        <v/>
      </c>
      <c r="I515" s="12" t="str">
        <f aca="false">IF($A515="","",IF(OR($B515="",$C515=""),"Von und Bis eintragen",IF($C515&lt;$B515,"Bis liegt vor Von",IF(ISNA(MATCH($A515,Team!$A$5:$A$64,0)),"Name fehlt im Blatt Team",IF(COUNTIFS($A$6:$A$605,$A515,$B$6:$B$605,"&lt;="&amp;$C515,$C$6:$C$605,"&gt;="&amp;$B515)&gt;1,"Überschneidet sich mit eigenem Wunsch",IF(OR($B515&lt;Einstellungen!$B$3,$C515&gt;Einstellungen!$B$4),"Teils außerhalb des Planungsjahres","ok"))))))</f>
        <v/>
      </c>
      <c r="J515" s="14"/>
    </row>
    <row r="516" customFormat="false" ht="15" hidden="false" customHeight="false" outlineLevel="0" collapsed="false">
      <c r="A516" s="15"/>
      <c r="B516" s="14"/>
      <c r="C516" s="14"/>
      <c r="D516" s="15"/>
      <c r="E516" s="15"/>
      <c r="F516" s="12" t="str">
        <f aca="false">IF($A516="","",IFERROR(INDEX(Team!$B$5:$B$64,MATCH($A516,Team!$A$5:$A$64,0)),"?"))</f>
        <v/>
      </c>
      <c r="G516" s="13" t="str">
        <f aca="false">IF($A516="","",COUNTIF($A$6:$A516,$A516)&amp;". Wunsch")</f>
        <v/>
      </c>
      <c r="H516" s="13" t="str">
        <f aca="false">IF(OR($A516="",$B516="",$C516="",$C516&lt;$B516),"",NETWORKDAYS($B516,$C516,Einstellungen!$N$7:$N$40))</f>
        <v/>
      </c>
      <c r="I516" s="12" t="str">
        <f aca="false">IF($A516="","",IF(OR($B516="",$C516=""),"Von und Bis eintragen",IF($C516&lt;$B516,"Bis liegt vor Von",IF(ISNA(MATCH($A516,Team!$A$5:$A$64,0)),"Name fehlt im Blatt Team",IF(COUNTIFS($A$6:$A$605,$A516,$B$6:$B$605,"&lt;="&amp;$C516,$C$6:$C$605,"&gt;="&amp;$B516)&gt;1,"Überschneidet sich mit eigenem Wunsch",IF(OR($B516&lt;Einstellungen!$B$3,$C516&gt;Einstellungen!$B$4),"Teils außerhalb des Planungsjahres","ok"))))))</f>
        <v/>
      </c>
      <c r="J516" s="14"/>
    </row>
    <row r="517" customFormat="false" ht="15" hidden="false" customHeight="false" outlineLevel="0" collapsed="false">
      <c r="A517" s="15"/>
      <c r="B517" s="14"/>
      <c r="C517" s="14"/>
      <c r="D517" s="15"/>
      <c r="E517" s="15"/>
      <c r="F517" s="12" t="str">
        <f aca="false">IF($A517="","",IFERROR(INDEX(Team!$B$5:$B$64,MATCH($A517,Team!$A$5:$A$64,0)),"?"))</f>
        <v/>
      </c>
      <c r="G517" s="13" t="str">
        <f aca="false">IF($A517="","",COUNTIF($A$6:$A517,$A517)&amp;". Wunsch")</f>
        <v/>
      </c>
      <c r="H517" s="13" t="str">
        <f aca="false">IF(OR($A517="",$B517="",$C517="",$C517&lt;$B517),"",NETWORKDAYS($B517,$C517,Einstellungen!$N$7:$N$40))</f>
        <v/>
      </c>
      <c r="I517" s="12" t="str">
        <f aca="false">IF($A517="","",IF(OR($B517="",$C517=""),"Von und Bis eintragen",IF($C517&lt;$B517,"Bis liegt vor Von",IF(ISNA(MATCH($A517,Team!$A$5:$A$64,0)),"Name fehlt im Blatt Team",IF(COUNTIFS($A$6:$A$605,$A517,$B$6:$B$605,"&lt;="&amp;$C517,$C$6:$C$605,"&gt;="&amp;$B517)&gt;1,"Überschneidet sich mit eigenem Wunsch",IF(OR($B517&lt;Einstellungen!$B$3,$C517&gt;Einstellungen!$B$4),"Teils außerhalb des Planungsjahres","ok"))))))</f>
        <v/>
      </c>
      <c r="J517" s="14"/>
    </row>
    <row r="518" customFormat="false" ht="15" hidden="false" customHeight="false" outlineLevel="0" collapsed="false">
      <c r="A518" s="15"/>
      <c r="B518" s="14"/>
      <c r="C518" s="14"/>
      <c r="D518" s="15"/>
      <c r="E518" s="15"/>
      <c r="F518" s="12" t="str">
        <f aca="false">IF($A518="","",IFERROR(INDEX(Team!$B$5:$B$64,MATCH($A518,Team!$A$5:$A$64,0)),"?"))</f>
        <v/>
      </c>
      <c r="G518" s="13" t="str">
        <f aca="false">IF($A518="","",COUNTIF($A$6:$A518,$A518)&amp;". Wunsch")</f>
        <v/>
      </c>
      <c r="H518" s="13" t="str">
        <f aca="false">IF(OR($A518="",$B518="",$C518="",$C518&lt;$B518),"",NETWORKDAYS($B518,$C518,Einstellungen!$N$7:$N$40))</f>
        <v/>
      </c>
      <c r="I518" s="12" t="str">
        <f aca="false">IF($A518="","",IF(OR($B518="",$C518=""),"Von und Bis eintragen",IF($C518&lt;$B518,"Bis liegt vor Von",IF(ISNA(MATCH($A518,Team!$A$5:$A$64,0)),"Name fehlt im Blatt Team",IF(COUNTIFS($A$6:$A$605,$A518,$B$6:$B$605,"&lt;="&amp;$C518,$C$6:$C$605,"&gt;="&amp;$B518)&gt;1,"Überschneidet sich mit eigenem Wunsch",IF(OR($B518&lt;Einstellungen!$B$3,$C518&gt;Einstellungen!$B$4),"Teils außerhalb des Planungsjahres","ok"))))))</f>
        <v/>
      </c>
      <c r="J518" s="14"/>
    </row>
    <row r="519" customFormat="false" ht="15" hidden="false" customHeight="false" outlineLevel="0" collapsed="false">
      <c r="A519" s="15"/>
      <c r="B519" s="14"/>
      <c r="C519" s="14"/>
      <c r="D519" s="15"/>
      <c r="E519" s="15"/>
      <c r="F519" s="12" t="str">
        <f aca="false">IF($A519="","",IFERROR(INDEX(Team!$B$5:$B$64,MATCH($A519,Team!$A$5:$A$64,0)),"?"))</f>
        <v/>
      </c>
      <c r="G519" s="13" t="str">
        <f aca="false">IF($A519="","",COUNTIF($A$6:$A519,$A519)&amp;". Wunsch")</f>
        <v/>
      </c>
      <c r="H519" s="13" t="str">
        <f aca="false">IF(OR($A519="",$B519="",$C519="",$C519&lt;$B519),"",NETWORKDAYS($B519,$C519,Einstellungen!$N$7:$N$40))</f>
        <v/>
      </c>
      <c r="I519" s="12" t="str">
        <f aca="false">IF($A519="","",IF(OR($B519="",$C519=""),"Von und Bis eintragen",IF($C519&lt;$B519,"Bis liegt vor Von",IF(ISNA(MATCH($A519,Team!$A$5:$A$64,0)),"Name fehlt im Blatt Team",IF(COUNTIFS($A$6:$A$605,$A519,$B$6:$B$605,"&lt;="&amp;$C519,$C$6:$C$605,"&gt;="&amp;$B519)&gt;1,"Überschneidet sich mit eigenem Wunsch",IF(OR($B519&lt;Einstellungen!$B$3,$C519&gt;Einstellungen!$B$4),"Teils außerhalb des Planungsjahres","ok"))))))</f>
        <v/>
      </c>
      <c r="J519" s="14"/>
    </row>
    <row r="520" customFormat="false" ht="15" hidden="false" customHeight="false" outlineLevel="0" collapsed="false">
      <c r="A520" s="15"/>
      <c r="B520" s="14"/>
      <c r="C520" s="14"/>
      <c r="D520" s="15"/>
      <c r="E520" s="15"/>
      <c r="F520" s="12" t="str">
        <f aca="false">IF($A520="","",IFERROR(INDEX(Team!$B$5:$B$64,MATCH($A520,Team!$A$5:$A$64,0)),"?"))</f>
        <v/>
      </c>
      <c r="G520" s="13" t="str">
        <f aca="false">IF($A520="","",COUNTIF($A$6:$A520,$A520)&amp;". Wunsch")</f>
        <v/>
      </c>
      <c r="H520" s="13" t="str">
        <f aca="false">IF(OR($A520="",$B520="",$C520="",$C520&lt;$B520),"",NETWORKDAYS($B520,$C520,Einstellungen!$N$7:$N$40))</f>
        <v/>
      </c>
      <c r="I520" s="12" t="str">
        <f aca="false">IF($A520="","",IF(OR($B520="",$C520=""),"Von und Bis eintragen",IF($C520&lt;$B520,"Bis liegt vor Von",IF(ISNA(MATCH($A520,Team!$A$5:$A$64,0)),"Name fehlt im Blatt Team",IF(COUNTIFS($A$6:$A$605,$A520,$B$6:$B$605,"&lt;="&amp;$C520,$C$6:$C$605,"&gt;="&amp;$B520)&gt;1,"Überschneidet sich mit eigenem Wunsch",IF(OR($B520&lt;Einstellungen!$B$3,$C520&gt;Einstellungen!$B$4),"Teils außerhalb des Planungsjahres","ok"))))))</f>
        <v/>
      </c>
      <c r="J520" s="14"/>
    </row>
    <row r="521" customFormat="false" ht="15" hidden="false" customHeight="false" outlineLevel="0" collapsed="false">
      <c r="A521" s="15"/>
      <c r="B521" s="14"/>
      <c r="C521" s="14"/>
      <c r="D521" s="15"/>
      <c r="E521" s="15"/>
      <c r="F521" s="12" t="str">
        <f aca="false">IF($A521="","",IFERROR(INDEX(Team!$B$5:$B$64,MATCH($A521,Team!$A$5:$A$64,0)),"?"))</f>
        <v/>
      </c>
      <c r="G521" s="13" t="str">
        <f aca="false">IF($A521="","",COUNTIF($A$6:$A521,$A521)&amp;". Wunsch")</f>
        <v/>
      </c>
      <c r="H521" s="13" t="str">
        <f aca="false">IF(OR($A521="",$B521="",$C521="",$C521&lt;$B521),"",NETWORKDAYS($B521,$C521,Einstellungen!$N$7:$N$40))</f>
        <v/>
      </c>
      <c r="I521" s="12" t="str">
        <f aca="false">IF($A521="","",IF(OR($B521="",$C521=""),"Von und Bis eintragen",IF($C521&lt;$B521,"Bis liegt vor Von",IF(ISNA(MATCH($A521,Team!$A$5:$A$64,0)),"Name fehlt im Blatt Team",IF(COUNTIFS($A$6:$A$605,$A521,$B$6:$B$605,"&lt;="&amp;$C521,$C$6:$C$605,"&gt;="&amp;$B521)&gt;1,"Überschneidet sich mit eigenem Wunsch",IF(OR($B521&lt;Einstellungen!$B$3,$C521&gt;Einstellungen!$B$4),"Teils außerhalb des Planungsjahres","ok"))))))</f>
        <v/>
      </c>
      <c r="J521" s="14"/>
    </row>
    <row r="522" customFormat="false" ht="15" hidden="false" customHeight="false" outlineLevel="0" collapsed="false">
      <c r="A522" s="15"/>
      <c r="B522" s="14"/>
      <c r="C522" s="14"/>
      <c r="D522" s="15"/>
      <c r="E522" s="15"/>
      <c r="F522" s="12" t="str">
        <f aca="false">IF($A522="","",IFERROR(INDEX(Team!$B$5:$B$64,MATCH($A522,Team!$A$5:$A$64,0)),"?"))</f>
        <v/>
      </c>
      <c r="G522" s="13" t="str">
        <f aca="false">IF($A522="","",COUNTIF($A$6:$A522,$A522)&amp;". Wunsch")</f>
        <v/>
      </c>
      <c r="H522" s="13" t="str">
        <f aca="false">IF(OR($A522="",$B522="",$C522="",$C522&lt;$B522),"",NETWORKDAYS($B522,$C522,Einstellungen!$N$7:$N$40))</f>
        <v/>
      </c>
      <c r="I522" s="12" t="str">
        <f aca="false">IF($A522="","",IF(OR($B522="",$C522=""),"Von und Bis eintragen",IF($C522&lt;$B522,"Bis liegt vor Von",IF(ISNA(MATCH($A522,Team!$A$5:$A$64,0)),"Name fehlt im Blatt Team",IF(COUNTIFS($A$6:$A$605,$A522,$B$6:$B$605,"&lt;="&amp;$C522,$C$6:$C$605,"&gt;="&amp;$B522)&gt;1,"Überschneidet sich mit eigenem Wunsch",IF(OR($B522&lt;Einstellungen!$B$3,$C522&gt;Einstellungen!$B$4),"Teils außerhalb des Planungsjahres","ok"))))))</f>
        <v/>
      </c>
      <c r="J522" s="14"/>
    </row>
    <row r="523" customFormat="false" ht="15" hidden="false" customHeight="false" outlineLevel="0" collapsed="false">
      <c r="A523" s="15"/>
      <c r="B523" s="14"/>
      <c r="C523" s="14"/>
      <c r="D523" s="15"/>
      <c r="E523" s="15"/>
      <c r="F523" s="12" t="str">
        <f aca="false">IF($A523="","",IFERROR(INDEX(Team!$B$5:$B$64,MATCH($A523,Team!$A$5:$A$64,0)),"?"))</f>
        <v/>
      </c>
      <c r="G523" s="13" t="str">
        <f aca="false">IF($A523="","",COUNTIF($A$6:$A523,$A523)&amp;". Wunsch")</f>
        <v/>
      </c>
      <c r="H523" s="13" t="str">
        <f aca="false">IF(OR($A523="",$B523="",$C523="",$C523&lt;$B523),"",NETWORKDAYS($B523,$C523,Einstellungen!$N$7:$N$40))</f>
        <v/>
      </c>
      <c r="I523" s="12" t="str">
        <f aca="false">IF($A523="","",IF(OR($B523="",$C523=""),"Von und Bis eintragen",IF($C523&lt;$B523,"Bis liegt vor Von",IF(ISNA(MATCH($A523,Team!$A$5:$A$64,0)),"Name fehlt im Blatt Team",IF(COUNTIFS($A$6:$A$605,$A523,$B$6:$B$605,"&lt;="&amp;$C523,$C$6:$C$605,"&gt;="&amp;$B523)&gt;1,"Überschneidet sich mit eigenem Wunsch",IF(OR($B523&lt;Einstellungen!$B$3,$C523&gt;Einstellungen!$B$4),"Teils außerhalb des Planungsjahres","ok"))))))</f>
        <v/>
      </c>
      <c r="J523" s="14"/>
    </row>
    <row r="524" customFormat="false" ht="15" hidden="false" customHeight="false" outlineLevel="0" collapsed="false">
      <c r="A524" s="15"/>
      <c r="B524" s="14"/>
      <c r="C524" s="14"/>
      <c r="D524" s="15"/>
      <c r="E524" s="15"/>
      <c r="F524" s="12" t="str">
        <f aca="false">IF($A524="","",IFERROR(INDEX(Team!$B$5:$B$64,MATCH($A524,Team!$A$5:$A$64,0)),"?"))</f>
        <v/>
      </c>
      <c r="G524" s="13" t="str">
        <f aca="false">IF($A524="","",COUNTIF($A$6:$A524,$A524)&amp;". Wunsch")</f>
        <v/>
      </c>
      <c r="H524" s="13" t="str">
        <f aca="false">IF(OR($A524="",$B524="",$C524="",$C524&lt;$B524),"",NETWORKDAYS($B524,$C524,Einstellungen!$N$7:$N$40))</f>
        <v/>
      </c>
      <c r="I524" s="12" t="str">
        <f aca="false">IF($A524="","",IF(OR($B524="",$C524=""),"Von und Bis eintragen",IF($C524&lt;$B524,"Bis liegt vor Von",IF(ISNA(MATCH($A524,Team!$A$5:$A$64,0)),"Name fehlt im Blatt Team",IF(COUNTIFS($A$6:$A$605,$A524,$B$6:$B$605,"&lt;="&amp;$C524,$C$6:$C$605,"&gt;="&amp;$B524)&gt;1,"Überschneidet sich mit eigenem Wunsch",IF(OR($B524&lt;Einstellungen!$B$3,$C524&gt;Einstellungen!$B$4),"Teils außerhalb des Planungsjahres","ok"))))))</f>
        <v/>
      </c>
      <c r="J524" s="14"/>
    </row>
    <row r="525" customFormat="false" ht="15" hidden="false" customHeight="false" outlineLevel="0" collapsed="false">
      <c r="A525" s="15"/>
      <c r="B525" s="14"/>
      <c r="C525" s="14"/>
      <c r="D525" s="15"/>
      <c r="E525" s="15"/>
      <c r="F525" s="12" t="str">
        <f aca="false">IF($A525="","",IFERROR(INDEX(Team!$B$5:$B$64,MATCH($A525,Team!$A$5:$A$64,0)),"?"))</f>
        <v/>
      </c>
      <c r="G525" s="13" t="str">
        <f aca="false">IF($A525="","",COUNTIF($A$6:$A525,$A525)&amp;". Wunsch")</f>
        <v/>
      </c>
      <c r="H525" s="13" t="str">
        <f aca="false">IF(OR($A525="",$B525="",$C525="",$C525&lt;$B525),"",NETWORKDAYS($B525,$C525,Einstellungen!$N$7:$N$40))</f>
        <v/>
      </c>
      <c r="I525" s="12" t="str">
        <f aca="false">IF($A525="","",IF(OR($B525="",$C525=""),"Von und Bis eintragen",IF($C525&lt;$B525,"Bis liegt vor Von",IF(ISNA(MATCH($A525,Team!$A$5:$A$64,0)),"Name fehlt im Blatt Team",IF(COUNTIFS($A$6:$A$605,$A525,$B$6:$B$605,"&lt;="&amp;$C525,$C$6:$C$605,"&gt;="&amp;$B525)&gt;1,"Überschneidet sich mit eigenem Wunsch",IF(OR($B525&lt;Einstellungen!$B$3,$C525&gt;Einstellungen!$B$4),"Teils außerhalb des Planungsjahres","ok"))))))</f>
        <v/>
      </c>
      <c r="J525" s="14"/>
    </row>
    <row r="526" customFormat="false" ht="15" hidden="false" customHeight="false" outlineLevel="0" collapsed="false">
      <c r="A526" s="15"/>
      <c r="B526" s="14"/>
      <c r="C526" s="14"/>
      <c r="D526" s="15"/>
      <c r="E526" s="15"/>
      <c r="F526" s="12" t="str">
        <f aca="false">IF($A526="","",IFERROR(INDEX(Team!$B$5:$B$64,MATCH($A526,Team!$A$5:$A$64,0)),"?"))</f>
        <v/>
      </c>
      <c r="G526" s="13" t="str">
        <f aca="false">IF($A526="","",COUNTIF($A$6:$A526,$A526)&amp;". Wunsch")</f>
        <v/>
      </c>
      <c r="H526" s="13" t="str">
        <f aca="false">IF(OR($A526="",$B526="",$C526="",$C526&lt;$B526),"",NETWORKDAYS($B526,$C526,Einstellungen!$N$7:$N$40))</f>
        <v/>
      </c>
      <c r="I526" s="12" t="str">
        <f aca="false">IF($A526="","",IF(OR($B526="",$C526=""),"Von und Bis eintragen",IF($C526&lt;$B526,"Bis liegt vor Von",IF(ISNA(MATCH($A526,Team!$A$5:$A$64,0)),"Name fehlt im Blatt Team",IF(COUNTIFS($A$6:$A$605,$A526,$B$6:$B$605,"&lt;="&amp;$C526,$C$6:$C$605,"&gt;="&amp;$B526)&gt;1,"Überschneidet sich mit eigenem Wunsch",IF(OR($B526&lt;Einstellungen!$B$3,$C526&gt;Einstellungen!$B$4),"Teils außerhalb des Planungsjahres","ok"))))))</f>
        <v/>
      </c>
      <c r="J526" s="14"/>
    </row>
    <row r="527" customFormat="false" ht="15" hidden="false" customHeight="false" outlineLevel="0" collapsed="false">
      <c r="A527" s="15"/>
      <c r="B527" s="14"/>
      <c r="C527" s="14"/>
      <c r="D527" s="15"/>
      <c r="E527" s="15"/>
      <c r="F527" s="12" t="str">
        <f aca="false">IF($A527="","",IFERROR(INDEX(Team!$B$5:$B$64,MATCH($A527,Team!$A$5:$A$64,0)),"?"))</f>
        <v/>
      </c>
      <c r="G527" s="13" t="str">
        <f aca="false">IF($A527="","",COUNTIF($A$6:$A527,$A527)&amp;". Wunsch")</f>
        <v/>
      </c>
      <c r="H527" s="13" t="str">
        <f aca="false">IF(OR($A527="",$B527="",$C527="",$C527&lt;$B527),"",NETWORKDAYS($B527,$C527,Einstellungen!$N$7:$N$40))</f>
        <v/>
      </c>
      <c r="I527" s="12" t="str">
        <f aca="false">IF($A527="","",IF(OR($B527="",$C527=""),"Von und Bis eintragen",IF($C527&lt;$B527,"Bis liegt vor Von",IF(ISNA(MATCH($A527,Team!$A$5:$A$64,0)),"Name fehlt im Blatt Team",IF(COUNTIFS($A$6:$A$605,$A527,$B$6:$B$605,"&lt;="&amp;$C527,$C$6:$C$605,"&gt;="&amp;$B527)&gt;1,"Überschneidet sich mit eigenem Wunsch",IF(OR($B527&lt;Einstellungen!$B$3,$C527&gt;Einstellungen!$B$4),"Teils außerhalb des Planungsjahres","ok"))))))</f>
        <v/>
      </c>
      <c r="J527" s="14"/>
    </row>
    <row r="528" customFormat="false" ht="15" hidden="false" customHeight="false" outlineLevel="0" collapsed="false">
      <c r="A528" s="15"/>
      <c r="B528" s="14"/>
      <c r="C528" s="14"/>
      <c r="D528" s="15"/>
      <c r="E528" s="15"/>
      <c r="F528" s="12" t="str">
        <f aca="false">IF($A528="","",IFERROR(INDEX(Team!$B$5:$B$64,MATCH($A528,Team!$A$5:$A$64,0)),"?"))</f>
        <v/>
      </c>
      <c r="G528" s="13" t="str">
        <f aca="false">IF($A528="","",COUNTIF($A$6:$A528,$A528)&amp;". Wunsch")</f>
        <v/>
      </c>
      <c r="H528" s="13" t="str">
        <f aca="false">IF(OR($A528="",$B528="",$C528="",$C528&lt;$B528),"",NETWORKDAYS($B528,$C528,Einstellungen!$N$7:$N$40))</f>
        <v/>
      </c>
      <c r="I528" s="12" t="str">
        <f aca="false">IF($A528="","",IF(OR($B528="",$C528=""),"Von und Bis eintragen",IF($C528&lt;$B528,"Bis liegt vor Von",IF(ISNA(MATCH($A528,Team!$A$5:$A$64,0)),"Name fehlt im Blatt Team",IF(COUNTIFS($A$6:$A$605,$A528,$B$6:$B$605,"&lt;="&amp;$C528,$C$6:$C$605,"&gt;="&amp;$B528)&gt;1,"Überschneidet sich mit eigenem Wunsch",IF(OR($B528&lt;Einstellungen!$B$3,$C528&gt;Einstellungen!$B$4),"Teils außerhalb des Planungsjahres","ok"))))))</f>
        <v/>
      </c>
      <c r="J528" s="14"/>
    </row>
    <row r="529" customFormat="false" ht="15" hidden="false" customHeight="false" outlineLevel="0" collapsed="false">
      <c r="A529" s="15"/>
      <c r="B529" s="14"/>
      <c r="C529" s="14"/>
      <c r="D529" s="15"/>
      <c r="E529" s="15"/>
      <c r="F529" s="12" t="str">
        <f aca="false">IF($A529="","",IFERROR(INDEX(Team!$B$5:$B$64,MATCH($A529,Team!$A$5:$A$64,0)),"?"))</f>
        <v/>
      </c>
      <c r="G529" s="13" t="str">
        <f aca="false">IF($A529="","",COUNTIF($A$6:$A529,$A529)&amp;". Wunsch")</f>
        <v/>
      </c>
      <c r="H529" s="13" t="str">
        <f aca="false">IF(OR($A529="",$B529="",$C529="",$C529&lt;$B529),"",NETWORKDAYS($B529,$C529,Einstellungen!$N$7:$N$40))</f>
        <v/>
      </c>
      <c r="I529" s="12" t="str">
        <f aca="false">IF($A529="","",IF(OR($B529="",$C529=""),"Von und Bis eintragen",IF($C529&lt;$B529,"Bis liegt vor Von",IF(ISNA(MATCH($A529,Team!$A$5:$A$64,0)),"Name fehlt im Blatt Team",IF(COUNTIFS($A$6:$A$605,$A529,$B$6:$B$605,"&lt;="&amp;$C529,$C$6:$C$605,"&gt;="&amp;$B529)&gt;1,"Überschneidet sich mit eigenem Wunsch",IF(OR($B529&lt;Einstellungen!$B$3,$C529&gt;Einstellungen!$B$4),"Teils außerhalb des Planungsjahres","ok"))))))</f>
        <v/>
      </c>
      <c r="J529" s="14"/>
    </row>
    <row r="530" customFormat="false" ht="15" hidden="false" customHeight="false" outlineLevel="0" collapsed="false">
      <c r="A530" s="15"/>
      <c r="B530" s="14"/>
      <c r="C530" s="14"/>
      <c r="D530" s="15"/>
      <c r="E530" s="15"/>
      <c r="F530" s="12" t="str">
        <f aca="false">IF($A530="","",IFERROR(INDEX(Team!$B$5:$B$64,MATCH($A530,Team!$A$5:$A$64,0)),"?"))</f>
        <v/>
      </c>
      <c r="G530" s="13" t="str">
        <f aca="false">IF($A530="","",COUNTIF($A$6:$A530,$A530)&amp;". Wunsch")</f>
        <v/>
      </c>
      <c r="H530" s="13" t="str">
        <f aca="false">IF(OR($A530="",$B530="",$C530="",$C530&lt;$B530),"",NETWORKDAYS($B530,$C530,Einstellungen!$N$7:$N$40))</f>
        <v/>
      </c>
      <c r="I530" s="12" t="str">
        <f aca="false">IF($A530="","",IF(OR($B530="",$C530=""),"Von und Bis eintragen",IF($C530&lt;$B530,"Bis liegt vor Von",IF(ISNA(MATCH($A530,Team!$A$5:$A$64,0)),"Name fehlt im Blatt Team",IF(COUNTIFS($A$6:$A$605,$A530,$B$6:$B$605,"&lt;="&amp;$C530,$C$6:$C$605,"&gt;="&amp;$B530)&gt;1,"Überschneidet sich mit eigenem Wunsch",IF(OR($B530&lt;Einstellungen!$B$3,$C530&gt;Einstellungen!$B$4),"Teils außerhalb des Planungsjahres","ok"))))))</f>
        <v/>
      </c>
      <c r="J530" s="14"/>
    </row>
    <row r="531" customFormat="false" ht="15" hidden="false" customHeight="false" outlineLevel="0" collapsed="false">
      <c r="A531" s="15"/>
      <c r="B531" s="14"/>
      <c r="C531" s="14"/>
      <c r="D531" s="15"/>
      <c r="E531" s="15"/>
      <c r="F531" s="12" t="str">
        <f aca="false">IF($A531="","",IFERROR(INDEX(Team!$B$5:$B$64,MATCH($A531,Team!$A$5:$A$64,0)),"?"))</f>
        <v/>
      </c>
      <c r="G531" s="13" t="str">
        <f aca="false">IF($A531="","",COUNTIF($A$6:$A531,$A531)&amp;". Wunsch")</f>
        <v/>
      </c>
      <c r="H531" s="13" t="str">
        <f aca="false">IF(OR($A531="",$B531="",$C531="",$C531&lt;$B531),"",NETWORKDAYS($B531,$C531,Einstellungen!$N$7:$N$40))</f>
        <v/>
      </c>
      <c r="I531" s="12" t="str">
        <f aca="false">IF($A531="","",IF(OR($B531="",$C531=""),"Von und Bis eintragen",IF($C531&lt;$B531,"Bis liegt vor Von",IF(ISNA(MATCH($A531,Team!$A$5:$A$64,0)),"Name fehlt im Blatt Team",IF(COUNTIFS($A$6:$A$605,$A531,$B$6:$B$605,"&lt;="&amp;$C531,$C$6:$C$605,"&gt;="&amp;$B531)&gt;1,"Überschneidet sich mit eigenem Wunsch",IF(OR($B531&lt;Einstellungen!$B$3,$C531&gt;Einstellungen!$B$4),"Teils außerhalb des Planungsjahres","ok"))))))</f>
        <v/>
      </c>
      <c r="J531" s="14"/>
    </row>
    <row r="532" customFormat="false" ht="15" hidden="false" customHeight="false" outlineLevel="0" collapsed="false">
      <c r="A532" s="15"/>
      <c r="B532" s="14"/>
      <c r="C532" s="14"/>
      <c r="D532" s="15"/>
      <c r="E532" s="15"/>
      <c r="F532" s="12" t="str">
        <f aca="false">IF($A532="","",IFERROR(INDEX(Team!$B$5:$B$64,MATCH($A532,Team!$A$5:$A$64,0)),"?"))</f>
        <v/>
      </c>
      <c r="G532" s="13" t="str">
        <f aca="false">IF($A532="","",COUNTIF($A$6:$A532,$A532)&amp;". Wunsch")</f>
        <v/>
      </c>
      <c r="H532" s="13" t="str">
        <f aca="false">IF(OR($A532="",$B532="",$C532="",$C532&lt;$B532),"",NETWORKDAYS($B532,$C532,Einstellungen!$N$7:$N$40))</f>
        <v/>
      </c>
      <c r="I532" s="12" t="str">
        <f aca="false">IF($A532="","",IF(OR($B532="",$C532=""),"Von und Bis eintragen",IF($C532&lt;$B532,"Bis liegt vor Von",IF(ISNA(MATCH($A532,Team!$A$5:$A$64,0)),"Name fehlt im Blatt Team",IF(COUNTIFS($A$6:$A$605,$A532,$B$6:$B$605,"&lt;="&amp;$C532,$C$6:$C$605,"&gt;="&amp;$B532)&gt;1,"Überschneidet sich mit eigenem Wunsch",IF(OR($B532&lt;Einstellungen!$B$3,$C532&gt;Einstellungen!$B$4),"Teils außerhalb des Planungsjahres","ok"))))))</f>
        <v/>
      </c>
      <c r="J532" s="14"/>
    </row>
    <row r="533" customFormat="false" ht="15" hidden="false" customHeight="false" outlineLevel="0" collapsed="false">
      <c r="A533" s="15"/>
      <c r="B533" s="14"/>
      <c r="C533" s="14"/>
      <c r="D533" s="15"/>
      <c r="E533" s="15"/>
      <c r="F533" s="12" t="str">
        <f aca="false">IF($A533="","",IFERROR(INDEX(Team!$B$5:$B$64,MATCH($A533,Team!$A$5:$A$64,0)),"?"))</f>
        <v/>
      </c>
      <c r="G533" s="13" t="str">
        <f aca="false">IF($A533="","",COUNTIF($A$6:$A533,$A533)&amp;". Wunsch")</f>
        <v/>
      </c>
      <c r="H533" s="13" t="str">
        <f aca="false">IF(OR($A533="",$B533="",$C533="",$C533&lt;$B533),"",NETWORKDAYS($B533,$C533,Einstellungen!$N$7:$N$40))</f>
        <v/>
      </c>
      <c r="I533" s="12" t="str">
        <f aca="false">IF($A533="","",IF(OR($B533="",$C533=""),"Von und Bis eintragen",IF($C533&lt;$B533,"Bis liegt vor Von",IF(ISNA(MATCH($A533,Team!$A$5:$A$64,0)),"Name fehlt im Blatt Team",IF(COUNTIFS($A$6:$A$605,$A533,$B$6:$B$605,"&lt;="&amp;$C533,$C$6:$C$605,"&gt;="&amp;$B533)&gt;1,"Überschneidet sich mit eigenem Wunsch",IF(OR($B533&lt;Einstellungen!$B$3,$C533&gt;Einstellungen!$B$4),"Teils außerhalb des Planungsjahres","ok"))))))</f>
        <v/>
      </c>
      <c r="J533" s="14"/>
    </row>
    <row r="534" customFormat="false" ht="15" hidden="false" customHeight="false" outlineLevel="0" collapsed="false">
      <c r="A534" s="15"/>
      <c r="B534" s="14"/>
      <c r="C534" s="14"/>
      <c r="D534" s="15"/>
      <c r="E534" s="15"/>
      <c r="F534" s="12" t="str">
        <f aca="false">IF($A534="","",IFERROR(INDEX(Team!$B$5:$B$64,MATCH($A534,Team!$A$5:$A$64,0)),"?"))</f>
        <v/>
      </c>
      <c r="G534" s="13" t="str">
        <f aca="false">IF($A534="","",COUNTIF($A$6:$A534,$A534)&amp;". Wunsch")</f>
        <v/>
      </c>
      <c r="H534" s="13" t="str">
        <f aca="false">IF(OR($A534="",$B534="",$C534="",$C534&lt;$B534),"",NETWORKDAYS($B534,$C534,Einstellungen!$N$7:$N$40))</f>
        <v/>
      </c>
      <c r="I534" s="12" t="str">
        <f aca="false">IF($A534="","",IF(OR($B534="",$C534=""),"Von und Bis eintragen",IF($C534&lt;$B534,"Bis liegt vor Von",IF(ISNA(MATCH($A534,Team!$A$5:$A$64,0)),"Name fehlt im Blatt Team",IF(COUNTIFS($A$6:$A$605,$A534,$B$6:$B$605,"&lt;="&amp;$C534,$C$6:$C$605,"&gt;="&amp;$B534)&gt;1,"Überschneidet sich mit eigenem Wunsch",IF(OR($B534&lt;Einstellungen!$B$3,$C534&gt;Einstellungen!$B$4),"Teils außerhalb des Planungsjahres","ok"))))))</f>
        <v/>
      </c>
      <c r="J534" s="14"/>
    </row>
    <row r="535" customFormat="false" ht="15" hidden="false" customHeight="false" outlineLevel="0" collapsed="false">
      <c r="A535" s="15"/>
      <c r="B535" s="14"/>
      <c r="C535" s="14"/>
      <c r="D535" s="15"/>
      <c r="E535" s="15"/>
      <c r="F535" s="12" t="str">
        <f aca="false">IF($A535="","",IFERROR(INDEX(Team!$B$5:$B$64,MATCH($A535,Team!$A$5:$A$64,0)),"?"))</f>
        <v/>
      </c>
      <c r="G535" s="13" t="str">
        <f aca="false">IF($A535="","",COUNTIF($A$6:$A535,$A535)&amp;". Wunsch")</f>
        <v/>
      </c>
      <c r="H535" s="13" t="str">
        <f aca="false">IF(OR($A535="",$B535="",$C535="",$C535&lt;$B535),"",NETWORKDAYS($B535,$C535,Einstellungen!$N$7:$N$40))</f>
        <v/>
      </c>
      <c r="I535" s="12" t="str">
        <f aca="false">IF($A535="","",IF(OR($B535="",$C535=""),"Von und Bis eintragen",IF($C535&lt;$B535,"Bis liegt vor Von",IF(ISNA(MATCH($A535,Team!$A$5:$A$64,0)),"Name fehlt im Blatt Team",IF(COUNTIFS($A$6:$A$605,$A535,$B$6:$B$605,"&lt;="&amp;$C535,$C$6:$C$605,"&gt;="&amp;$B535)&gt;1,"Überschneidet sich mit eigenem Wunsch",IF(OR($B535&lt;Einstellungen!$B$3,$C535&gt;Einstellungen!$B$4),"Teils außerhalb des Planungsjahres","ok"))))))</f>
        <v/>
      </c>
      <c r="J535" s="14"/>
    </row>
    <row r="536" customFormat="false" ht="15" hidden="false" customHeight="false" outlineLevel="0" collapsed="false">
      <c r="A536" s="15"/>
      <c r="B536" s="14"/>
      <c r="C536" s="14"/>
      <c r="D536" s="15"/>
      <c r="E536" s="15"/>
      <c r="F536" s="12" t="str">
        <f aca="false">IF($A536="","",IFERROR(INDEX(Team!$B$5:$B$64,MATCH($A536,Team!$A$5:$A$64,0)),"?"))</f>
        <v/>
      </c>
      <c r="G536" s="13" t="str">
        <f aca="false">IF($A536="","",COUNTIF($A$6:$A536,$A536)&amp;". Wunsch")</f>
        <v/>
      </c>
      <c r="H536" s="13" t="str">
        <f aca="false">IF(OR($A536="",$B536="",$C536="",$C536&lt;$B536),"",NETWORKDAYS($B536,$C536,Einstellungen!$N$7:$N$40))</f>
        <v/>
      </c>
      <c r="I536" s="12" t="str">
        <f aca="false">IF($A536="","",IF(OR($B536="",$C536=""),"Von und Bis eintragen",IF($C536&lt;$B536,"Bis liegt vor Von",IF(ISNA(MATCH($A536,Team!$A$5:$A$64,0)),"Name fehlt im Blatt Team",IF(COUNTIFS($A$6:$A$605,$A536,$B$6:$B$605,"&lt;="&amp;$C536,$C$6:$C$605,"&gt;="&amp;$B536)&gt;1,"Überschneidet sich mit eigenem Wunsch",IF(OR($B536&lt;Einstellungen!$B$3,$C536&gt;Einstellungen!$B$4),"Teils außerhalb des Planungsjahres","ok"))))))</f>
        <v/>
      </c>
      <c r="J536" s="14"/>
    </row>
    <row r="537" customFormat="false" ht="15" hidden="false" customHeight="false" outlineLevel="0" collapsed="false">
      <c r="A537" s="15"/>
      <c r="B537" s="14"/>
      <c r="C537" s="14"/>
      <c r="D537" s="15"/>
      <c r="E537" s="15"/>
      <c r="F537" s="12" t="str">
        <f aca="false">IF($A537="","",IFERROR(INDEX(Team!$B$5:$B$64,MATCH($A537,Team!$A$5:$A$64,0)),"?"))</f>
        <v/>
      </c>
      <c r="G537" s="13" t="str">
        <f aca="false">IF($A537="","",COUNTIF($A$6:$A537,$A537)&amp;". Wunsch")</f>
        <v/>
      </c>
      <c r="H537" s="13" t="str">
        <f aca="false">IF(OR($A537="",$B537="",$C537="",$C537&lt;$B537),"",NETWORKDAYS($B537,$C537,Einstellungen!$N$7:$N$40))</f>
        <v/>
      </c>
      <c r="I537" s="12" t="str">
        <f aca="false">IF($A537="","",IF(OR($B537="",$C537=""),"Von und Bis eintragen",IF($C537&lt;$B537,"Bis liegt vor Von",IF(ISNA(MATCH($A537,Team!$A$5:$A$64,0)),"Name fehlt im Blatt Team",IF(COUNTIFS($A$6:$A$605,$A537,$B$6:$B$605,"&lt;="&amp;$C537,$C$6:$C$605,"&gt;="&amp;$B537)&gt;1,"Überschneidet sich mit eigenem Wunsch",IF(OR($B537&lt;Einstellungen!$B$3,$C537&gt;Einstellungen!$B$4),"Teils außerhalb des Planungsjahres","ok"))))))</f>
        <v/>
      </c>
      <c r="J537" s="14"/>
    </row>
    <row r="538" customFormat="false" ht="15" hidden="false" customHeight="false" outlineLevel="0" collapsed="false">
      <c r="A538" s="15"/>
      <c r="B538" s="14"/>
      <c r="C538" s="14"/>
      <c r="D538" s="15"/>
      <c r="E538" s="15"/>
      <c r="F538" s="12" t="str">
        <f aca="false">IF($A538="","",IFERROR(INDEX(Team!$B$5:$B$64,MATCH($A538,Team!$A$5:$A$64,0)),"?"))</f>
        <v/>
      </c>
      <c r="G538" s="13" t="str">
        <f aca="false">IF($A538="","",COUNTIF($A$6:$A538,$A538)&amp;". Wunsch")</f>
        <v/>
      </c>
      <c r="H538" s="13" t="str">
        <f aca="false">IF(OR($A538="",$B538="",$C538="",$C538&lt;$B538),"",NETWORKDAYS($B538,$C538,Einstellungen!$N$7:$N$40))</f>
        <v/>
      </c>
      <c r="I538" s="12" t="str">
        <f aca="false">IF($A538="","",IF(OR($B538="",$C538=""),"Von und Bis eintragen",IF($C538&lt;$B538,"Bis liegt vor Von",IF(ISNA(MATCH($A538,Team!$A$5:$A$64,0)),"Name fehlt im Blatt Team",IF(COUNTIFS($A$6:$A$605,$A538,$B$6:$B$605,"&lt;="&amp;$C538,$C$6:$C$605,"&gt;="&amp;$B538)&gt;1,"Überschneidet sich mit eigenem Wunsch",IF(OR($B538&lt;Einstellungen!$B$3,$C538&gt;Einstellungen!$B$4),"Teils außerhalb des Planungsjahres","ok"))))))</f>
        <v/>
      </c>
      <c r="J538" s="14"/>
    </row>
    <row r="539" customFormat="false" ht="15" hidden="false" customHeight="false" outlineLevel="0" collapsed="false">
      <c r="A539" s="15"/>
      <c r="B539" s="14"/>
      <c r="C539" s="14"/>
      <c r="D539" s="15"/>
      <c r="E539" s="15"/>
      <c r="F539" s="12" t="str">
        <f aca="false">IF($A539="","",IFERROR(INDEX(Team!$B$5:$B$64,MATCH($A539,Team!$A$5:$A$64,0)),"?"))</f>
        <v/>
      </c>
      <c r="G539" s="13" t="str">
        <f aca="false">IF($A539="","",COUNTIF($A$6:$A539,$A539)&amp;". Wunsch")</f>
        <v/>
      </c>
      <c r="H539" s="13" t="str">
        <f aca="false">IF(OR($A539="",$B539="",$C539="",$C539&lt;$B539),"",NETWORKDAYS($B539,$C539,Einstellungen!$N$7:$N$40))</f>
        <v/>
      </c>
      <c r="I539" s="12" t="str">
        <f aca="false">IF($A539="","",IF(OR($B539="",$C539=""),"Von und Bis eintragen",IF($C539&lt;$B539,"Bis liegt vor Von",IF(ISNA(MATCH($A539,Team!$A$5:$A$64,0)),"Name fehlt im Blatt Team",IF(COUNTIFS($A$6:$A$605,$A539,$B$6:$B$605,"&lt;="&amp;$C539,$C$6:$C$605,"&gt;="&amp;$B539)&gt;1,"Überschneidet sich mit eigenem Wunsch",IF(OR($B539&lt;Einstellungen!$B$3,$C539&gt;Einstellungen!$B$4),"Teils außerhalb des Planungsjahres","ok"))))))</f>
        <v/>
      </c>
      <c r="J539" s="14"/>
    </row>
    <row r="540" customFormat="false" ht="15" hidden="false" customHeight="false" outlineLevel="0" collapsed="false">
      <c r="A540" s="15"/>
      <c r="B540" s="14"/>
      <c r="C540" s="14"/>
      <c r="D540" s="15"/>
      <c r="E540" s="15"/>
      <c r="F540" s="12" t="str">
        <f aca="false">IF($A540="","",IFERROR(INDEX(Team!$B$5:$B$64,MATCH($A540,Team!$A$5:$A$64,0)),"?"))</f>
        <v/>
      </c>
      <c r="G540" s="13" t="str">
        <f aca="false">IF($A540="","",COUNTIF($A$6:$A540,$A540)&amp;". Wunsch")</f>
        <v/>
      </c>
      <c r="H540" s="13" t="str">
        <f aca="false">IF(OR($A540="",$B540="",$C540="",$C540&lt;$B540),"",NETWORKDAYS($B540,$C540,Einstellungen!$N$7:$N$40))</f>
        <v/>
      </c>
      <c r="I540" s="12" t="str">
        <f aca="false">IF($A540="","",IF(OR($B540="",$C540=""),"Von und Bis eintragen",IF($C540&lt;$B540,"Bis liegt vor Von",IF(ISNA(MATCH($A540,Team!$A$5:$A$64,0)),"Name fehlt im Blatt Team",IF(COUNTIFS($A$6:$A$605,$A540,$B$6:$B$605,"&lt;="&amp;$C540,$C$6:$C$605,"&gt;="&amp;$B540)&gt;1,"Überschneidet sich mit eigenem Wunsch",IF(OR($B540&lt;Einstellungen!$B$3,$C540&gt;Einstellungen!$B$4),"Teils außerhalb des Planungsjahres","ok"))))))</f>
        <v/>
      </c>
      <c r="J540" s="14"/>
    </row>
    <row r="541" customFormat="false" ht="15" hidden="false" customHeight="false" outlineLevel="0" collapsed="false">
      <c r="A541" s="15"/>
      <c r="B541" s="14"/>
      <c r="C541" s="14"/>
      <c r="D541" s="15"/>
      <c r="E541" s="15"/>
      <c r="F541" s="12" t="str">
        <f aca="false">IF($A541="","",IFERROR(INDEX(Team!$B$5:$B$64,MATCH($A541,Team!$A$5:$A$64,0)),"?"))</f>
        <v/>
      </c>
      <c r="G541" s="13" t="str">
        <f aca="false">IF($A541="","",COUNTIF($A$6:$A541,$A541)&amp;". Wunsch")</f>
        <v/>
      </c>
      <c r="H541" s="13" t="str">
        <f aca="false">IF(OR($A541="",$B541="",$C541="",$C541&lt;$B541),"",NETWORKDAYS($B541,$C541,Einstellungen!$N$7:$N$40))</f>
        <v/>
      </c>
      <c r="I541" s="12" t="str">
        <f aca="false">IF($A541="","",IF(OR($B541="",$C541=""),"Von und Bis eintragen",IF($C541&lt;$B541,"Bis liegt vor Von",IF(ISNA(MATCH($A541,Team!$A$5:$A$64,0)),"Name fehlt im Blatt Team",IF(COUNTIFS($A$6:$A$605,$A541,$B$6:$B$605,"&lt;="&amp;$C541,$C$6:$C$605,"&gt;="&amp;$B541)&gt;1,"Überschneidet sich mit eigenem Wunsch",IF(OR($B541&lt;Einstellungen!$B$3,$C541&gt;Einstellungen!$B$4),"Teils außerhalb des Planungsjahres","ok"))))))</f>
        <v/>
      </c>
      <c r="J541" s="14"/>
    </row>
    <row r="542" customFormat="false" ht="15" hidden="false" customHeight="false" outlineLevel="0" collapsed="false">
      <c r="A542" s="15"/>
      <c r="B542" s="14"/>
      <c r="C542" s="14"/>
      <c r="D542" s="15"/>
      <c r="E542" s="15"/>
      <c r="F542" s="12" t="str">
        <f aca="false">IF($A542="","",IFERROR(INDEX(Team!$B$5:$B$64,MATCH($A542,Team!$A$5:$A$64,0)),"?"))</f>
        <v/>
      </c>
      <c r="G542" s="13" t="str">
        <f aca="false">IF($A542="","",COUNTIF($A$6:$A542,$A542)&amp;". Wunsch")</f>
        <v/>
      </c>
      <c r="H542" s="13" t="str">
        <f aca="false">IF(OR($A542="",$B542="",$C542="",$C542&lt;$B542),"",NETWORKDAYS($B542,$C542,Einstellungen!$N$7:$N$40))</f>
        <v/>
      </c>
      <c r="I542" s="12" t="str">
        <f aca="false">IF($A542="","",IF(OR($B542="",$C542=""),"Von und Bis eintragen",IF($C542&lt;$B542,"Bis liegt vor Von",IF(ISNA(MATCH($A542,Team!$A$5:$A$64,0)),"Name fehlt im Blatt Team",IF(COUNTIFS($A$6:$A$605,$A542,$B$6:$B$605,"&lt;="&amp;$C542,$C$6:$C$605,"&gt;="&amp;$B542)&gt;1,"Überschneidet sich mit eigenem Wunsch",IF(OR($B542&lt;Einstellungen!$B$3,$C542&gt;Einstellungen!$B$4),"Teils außerhalb des Planungsjahres","ok"))))))</f>
        <v/>
      </c>
      <c r="J542" s="14"/>
    </row>
    <row r="543" customFormat="false" ht="15" hidden="false" customHeight="false" outlineLevel="0" collapsed="false">
      <c r="A543" s="15"/>
      <c r="B543" s="14"/>
      <c r="C543" s="14"/>
      <c r="D543" s="15"/>
      <c r="E543" s="15"/>
      <c r="F543" s="12" t="str">
        <f aca="false">IF($A543="","",IFERROR(INDEX(Team!$B$5:$B$64,MATCH($A543,Team!$A$5:$A$64,0)),"?"))</f>
        <v/>
      </c>
      <c r="G543" s="13" t="str">
        <f aca="false">IF($A543="","",COUNTIF($A$6:$A543,$A543)&amp;". Wunsch")</f>
        <v/>
      </c>
      <c r="H543" s="13" t="str">
        <f aca="false">IF(OR($A543="",$B543="",$C543="",$C543&lt;$B543),"",NETWORKDAYS($B543,$C543,Einstellungen!$N$7:$N$40))</f>
        <v/>
      </c>
      <c r="I543" s="12" t="str">
        <f aca="false">IF($A543="","",IF(OR($B543="",$C543=""),"Von und Bis eintragen",IF($C543&lt;$B543,"Bis liegt vor Von",IF(ISNA(MATCH($A543,Team!$A$5:$A$64,0)),"Name fehlt im Blatt Team",IF(COUNTIFS($A$6:$A$605,$A543,$B$6:$B$605,"&lt;="&amp;$C543,$C$6:$C$605,"&gt;="&amp;$B543)&gt;1,"Überschneidet sich mit eigenem Wunsch",IF(OR($B543&lt;Einstellungen!$B$3,$C543&gt;Einstellungen!$B$4),"Teils außerhalb des Planungsjahres","ok"))))))</f>
        <v/>
      </c>
      <c r="J543" s="14"/>
    </row>
    <row r="544" customFormat="false" ht="15" hidden="false" customHeight="false" outlineLevel="0" collapsed="false">
      <c r="A544" s="15"/>
      <c r="B544" s="14"/>
      <c r="C544" s="14"/>
      <c r="D544" s="15"/>
      <c r="E544" s="15"/>
      <c r="F544" s="12" t="str">
        <f aca="false">IF($A544="","",IFERROR(INDEX(Team!$B$5:$B$64,MATCH($A544,Team!$A$5:$A$64,0)),"?"))</f>
        <v/>
      </c>
      <c r="G544" s="13" t="str">
        <f aca="false">IF($A544="","",COUNTIF($A$6:$A544,$A544)&amp;". Wunsch")</f>
        <v/>
      </c>
      <c r="H544" s="13" t="str">
        <f aca="false">IF(OR($A544="",$B544="",$C544="",$C544&lt;$B544),"",NETWORKDAYS($B544,$C544,Einstellungen!$N$7:$N$40))</f>
        <v/>
      </c>
      <c r="I544" s="12" t="str">
        <f aca="false">IF($A544="","",IF(OR($B544="",$C544=""),"Von und Bis eintragen",IF($C544&lt;$B544,"Bis liegt vor Von",IF(ISNA(MATCH($A544,Team!$A$5:$A$64,0)),"Name fehlt im Blatt Team",IF(COUNTIFS($A$6:$A$605,$A544,$B$6:$B$605,"&lt;="&amp;$C544,$C$6:$C$605,"&gt;="&amp;$B544)&gt;1,"Überschneidet sich mit eigenem Wunsch",IF(OR($B544&lt;Einstellungen!$B$3,$C544&gt;Einstellungen!$B$4),"Teils außerhalb des Planungsjahres","ok"))))))</f>
        <v/>
      </c>
      <c r="J544" s="14"/>
    </row>
    <row r="545" customFormat="false" ht="15" hidden="false" customHeight="false" outlineLevel="0" collapsed="false">
      <c r="A545" s="15"/>
      <c r="B545" s="14"/>
      <c r="C545" s="14"/>
      <c r="D545" s="15"/>
      <c r="E545" s="15"/>
      <c r="F545" s="12" t="str">
        <f aca="false">IF($A545="","",IFERROR(INDEX(Team!$B$5:$B$64,MATCH($A545,Team!$A$5:$A$64,0)),"?"))</f>
        <v/>
      </c>
      <c r="G545" s="13" t="str">
        <f aca="false">IF($A545="","",COUNTIF($A$6:$A545,$A545)&amp;". Wunsch")</f>
        <v/>
      </c>
      <c r="H545" s="13" t="str">
        <f aca="false">IF(OR($A545="",$B545="",$C545="",$C545&lt;$B545),"",NETWORKDAYS($B545,$C545,Einstellungen!$N$7:$N$40))</f>
        <v/>
      </c>
      <c r="I545" s="12" t="str">
        <f aca="false">IF($A545="","",IF(OR($B545="",$C545=""),"Von und Bis eintragen",IF($C545&lt;$B545,"Bis liegt vor Von",IF(ISNA(MATCH($A545,Team!$A$5:$A$64,0)),"Name fehlt im Blatt Team",IF(COUNTIFS($A$6:$A$605,$A545,$B$6:$B$605,"&lt;="&amp;$C545,$C$6:$C$605,"&gt;="&amp;$B545)&gt;1,"Überschneidet sich mit eigenem Wunsch",IF(OR($B545&lt;Einstellungen!$B$3,$C545&gt;Einstellungen!$B$4),"Teils außerhalb des Planungsjahres","ok"))))))</f>
        <v/>
      </c>
      <c r="J545" s="14"/>
    </row>
    <row r="546" customFormat="false" ht="15" hidden="false" customHeight="false" outlineLevel="0" collapsed="false">
      <c r="A546" s="15"/>
      <c r="B546" s="14"/>
      <c r="C546" s="14"/>
      <c r="D546" s="15"/>
      <c r="E546" s="15"/>
      <c r="F546" s="12" t="str">
        <f aca="false">IF($A546="","",IFERROR(INDEX(Team!$B$5:$B$64,MATCH($A546,Team!$A$5:$A$64,0)),"?"))</f>
        <v/>
      </c>
      <c r="G546" s="13" t="str">
        <f aca="false">IF($A546="","",COUNTIF($A$6:$A546,$A546)&amp;". Wunsch")</f>
        <v/>
      </c>
      <c r="H546" s="13" t="str">
        <f aca="false">IF(OR($A546="",$B546="",$C546="",$C546&lt;$B546),"",NETWORKDAYS($B546,$C546,Einstellungen!$N$7:$N$40))</f>
        <v/>
      </c>
      <c r="I546" s="12" t="str">
        <f aca="false">IF($A546="","",IF(OR($B546="",$C546=""),"Von und Bis eintragen",IF($C546&lt;$B546,"Bis liegt vor Von",IF(ISNA(MATCH($A546,Team!$A$5:$A$64,0)),"Name fehlt im Blatt Team",IF(COUNTIFS($A$6:$A$605,$A546,$B$6:$B$605,"&lt;="&amp;$C546,$C$6:$C$605,"&gt;="&amp;$B546)&gt;1,"Überschneidet sich mit eigenem Wunsch",IF(OR($B546&lt;Einstellungen!$B$3,$C546&gt;Einstellungen!$B$4),"Teils außerhalb des Planungsjahres","ok"))))))</f>
        <v/>
      </c>
      <c r="J546" s="14"/>
    </row>
    <row r="547" customFormat="false" ht="15" hidden="false" customHeight="false" outlineLevel="0" collapsed="false">
      <c r="A547" s="15"/>
      <c r="B547" s="14"/>
      <c r="C547" s="14"/>
      <c r="D547" s="15"/>
      <c r="E547" s="15"/>
      <c r="F547" s="12" t="str">
        <f aca="false">IF($A547="","",IFERROR(INDEX(Team!$B$5:$B$64,MATCH($A547,Team!$A$5:$A$64,0)),"?"))</f>
        <v/>
      </c>
      <c r="G547" s="13" t="str">
        <f aca="false">IF($A547="","",COUNTIF($A$6:$A547,$A547)&amp;". Wunsch")</f>
        <v/>
      </c>
      <c r="H547" s="13" t="str">
        <f aca="false">IF(OR($A547="",$B547="",$C547="",$C547&lt;$B547),"",NETWORKDAYS($B547,$C547,Einstellungen!$N$7:$N$40))</f>
        <v/>
      </c>
      <c r="I547" s="12" t="str">
        <f aca="false">IF($A547="","",IF(OR($B547="",$C547=""),"Von und Bis eintragen",IF($C547&lt;$B547,"Bis liegt vor Von",IF(ISNA(MATCH($A547,Team!$A$5:$A$64,0)),"Name fehlt im Blatt Team",IF(COUNTIFS($A$6:$A$605,$A547,$B$6:$B$605,"&lt;="&amp;$C547,$C$6:$C$605,"&gt;="&amp;$B547)&gt;1,"Überschneidet sich mit eigenem Wunsch",IF(OR($B547&lt;Einstellungen!$B$3,$C547&gt;Einstellungen!$B$4),"Teils außerhalb des Planungsjahres","ok"))))))</f>
        <v/>
      </c>
      <c r="J547" s="14"/>
    </row>
    <row r="548" customFormat="false" ht="15" hidden="false" customHeight="false" outlineLevel="0" collapsed="false">
      <c r="A548" s="15"/>
      <c r="B548" s="14"/>
      <c r="C548" s="14"/>
      <c r="D548" s="15"/>
      <c r="E548" s="15"/>
      <c r="F548" s="12" t="str">
        <f aca="false">IF($A548="","",IFERROR(INDEX(Team!$B$5:$B$64,MATCH($A548,Team!$A$5:$A$64,0)),"?"))</f>
        <v/>
      </c>
      <c r="G548" s="13" t="str">
        <f aca="false">IF($A548="","",COUNTIF($A$6:$A548,$A548)&amp;". Wunsch")</f>
        <v/>
      </c>
      <c r="H548" s="13" t="str">
        <f aca="false">IF(OR($A548="",$B548="",$C548="",$C548&lt;$B548),"",NETWORKDAYS($B548,$C548,Einstellungen!$N$7:$N$40))</f>
        <v/>
      </c>
      <c r="I548" s="12" t="str">
        <f aca="false">IF($A548="","",IF(OR($B548="",$C548=""),"Von und Bis eintragen",IF($C548&lt;$B548,"Bis liegt vor Von",IF(ISNA(MATCH($A548,Team!$A$5:$A$64,0)),"Name fehlt im Blatt Team",IF(COUNTIFS($A$6:$A$605,$A548,$B$6:$B$605,"&lt;="&amp;$C548,$C$6:$C$605,"&gt;="&amp;$B548)&gt;1,"Überschneidet sich mit eigenem Wunsch",IF(OR($B548&lt;Einstellungen!$B$3,$C548&gt;Einstellungen!$B$4),"Teils außerhalb des Planungsjahres","ok"))))))</f>
        <v/>
      </c>
      <c r="J548" s="14"/>
    </row>
    <row r="549" customFormat="false" ht="15" hidden="false" customHeight="false" outlineLevel="0" collapsed="false">
      <c r="A549" s="15"/>
      <c r="B549" s="14"/>
      <c r="C549" s="14"/>
      <c r="D549" s="15"/>
      <c r="E549" s="15"/>
      <c r="F549" s="12" t="str">
        <f aca="false">IF($A549="","",IFERROR(INDEX(Team!$B$5:$B$64,MATCH($A549,Team!$A$5:$A$64,0)),"?"))</f>
        <v/>
      </c>
      <c r="G549" s="13" t="str">
        <f aca="false">IF($A549="","",COUNTIF($A$6:$A549,$A549)&amp;". Wunsch")</f>
        <v/>
      </c>
      <c r="H549" s="13" t="str">
        <f aca="false">IF(OR($A549="",$B549="",$C549="",$C549&lt;$B549),"",NETWORKDAYS($B549,$C549,Einstellungen!$N$7:$N$40))</f>
        <v/>
      </c>
      <c r="I549" s="12" t="str">
        <f aca="false">IF($A549="","",IF(OR($B549="",$C549=""),"Von und Bis eintragen",IF($C549&lt;$B549,"Bis liegt vor Von",IF(ISNA(MATCH($A549,Team!$A$5:$A$64,0)),"Name fehlt im Blatt Team",IF(COUNTIFS($A$6:$A$605,$A549,$B$6:$B$605,"&lt;="&amp;$C549,$C$6:$C$605,"&gt;="&amp;$B549)&gt;1,"Überschneidet sich mit eigenem Wunsch",IF(OR($B549&lt;Einstellungen!$B$3,$C549&gt;Einstellungen!$B$4),"Teils außerhalb des Planungsjahres","ok"))))))</f>
        <v/>
      </c>
      <c r="J549" s="14"/>
    </row>
    <row r="550" customFormat="false" ht="15" hidden="false" customHeight="false" outlineLevel="0" collapsed="false">
      <c r="A550" s="15"/>
      <c r="B550" s="14"/>
      <c r="C550" s="14"/>
      <c r="D550" s="15"/>
      <c r="E550" s="15"/>
      <c r="F550" s="12" t="str">
        <f aca="false">IF($A550="","",IFERROR(INDEX(Team!$B$5:$B$64,MATCH($A550,Team!$A$5:$A$64,0)),"?"))</f>
        <v/>
      </c>
      <c r="G550" s="13" t="str">
        <f aca="false">IF($A550="","",COUNTIF($A$6:$A550,$A550)&amp;". Wunsch")</f>
        <v/>
      </c>
      <c r="H550" s="13" t="str">
        <f aca="false">IF(OR($A550="",$B550="",$C550="",$C550&lt;$B550),"",NETWORKDAYS($B550,$C550,Einstellungen!$N$7:$N$40))</f>
        <v/>
      </c>
      <c r="I550" s="12" t="str">
        <f aca="false">IF($A550="","",IF(OR($B550="",$C550=""),"Von und Bis eintragen",IF($C550&lt;$B550,"Bis liegt vor Von",IF(ISNA(MATCH($A550,Team!$A$5:$A$64,0)),"Name fehlt im Blatt Team",IF(COUNTIFS($A$6:$A$605,$A550,$B$6:$B$605,"&lt;="&amp;$C550,$C$6:$C$605,"&gt;="&amp;$B550)&gt;1,"Überschneidet sich mit eigenem Wunsch",IF(OR($B550&lt;Einstellungen!$B$3,$C550&gt;Einstellungen!$B$4),"Teils außerhalb des Planungsjahres","ok"))))))</f>
        <v/>
      </c>
      <c r="J550" s="14"/>
    </row>
    <row r="551" customFormat="false" ht="15" hidden="false" customHeight="false" outlineLevel="0" collapsed="false">
      <c r="A551" s="15"/>
      <c r="B551" s="14"/>
      <c r="C551" s="14"/>
      <c r="D551" s="15"/>
      <c r="E551" s="15"/>
      <c r="F551" s="12" t="str">
        <f aca="false">IF($A551="","",IFERROR(INDEX(Team!$B$5:$B$64,MATCH($A551,Team!$A$5:$A$64,0)),"?"))</f>
        <v/>
      </c>
      <c r="G551" s="13" t="str">
        <f aca="false">IF($A551="","",COUNTIF($A$6:$A551,$A551)&amp;". Wunsch")</f>
        <v/>
      </c>
      <c r="H551" s="13" t="str">
        <f aca="false">IF(OR($A551="",$B551="",$C551="",$C551&lt;$B551),"",NETWORKDAYS($B551,$C551,Einstellungen!$N$7:$N$40))</f>
        <v/>
      </c>
      <c r="I551" s="12" t="str">
        <f aca="false">IF($A551="","",IF(OR($B551="",$C551=""),"Von und Bis eintragen",IF($C551&lt;$B551,"Bis liegt vor Von",IF(ISNA(MATCH($A551,Team!$A$5:$A$64,0)),"Name fehlt im Blatt Team",IF(COUNTIFS($A$6:$A$605,$A551,$B$6:$B$605,"&lt;="&amp;$C551,$C$6:$C$605,"&gt;="&amp;$B551)&gt;1,"Überschneidet sich mit eigenem Wunsch",IF(OR($B551&lt;Einstellungen!$B$3,$C551&gt;Einstellungen!$B$4),"Teils außerhalb des Planungsjahres","ok"))))))</f>
        <v/>
      </c>
      <c r="J551" s="14"/>
    </row>
    <row r="552" customFormat="false" ht="15" hidden="false" customHeight="false" outlineLevel="0" collapsed="false">
      <c r="A552" s="15"/>
      <c r="B552" s="14"/>
      <c r="C552" s="14"/>
      <c r="D552" s="15"/>
      <c r="E552" s="15"/>
      <c r="F552" s="12" t="str">
        <f aca="false">IF($A552="","",IFERROR(INDEX(Team!$B$5:$B$64,MATCH($A552,Team!$A$5:$A$64,0)),"?"))</f>
        <v/>
      </c>
      <c r="G552" s="13" t="str">
        <f aca="false">IF($A552="","",COUNTIF($A$6:$A552,$A552)&amp;". Wunsch")</f>
        <v/>
      </c>
      <c r="H552" s="13" t="str">
        <f aca="false">IF(OR($A552="",$B552="",$C552="",$C552&lt;$B552),"",NETWORKDAYS($B552,$C552,Einstellungen!$N$7:$N$40))</f>
        <v/>
      </c>
      <c r="I552" s="12" t="str">
        <f aca="false">IF($A552="","",IF(OR($B552="",$C552=""),"Von und Bis eintragen",IF($C552&lt;$B552,"Bis liegt vor Von",IF(ISNA(MATCH($A552,Team!$A$5:$A$64,0)),"Name fehlt im Blatt Team",IF(COUNTIFS($A$6:$A$605,$A552,$B$6:$B$605,"&lt;="&amp;$C552,$C$6:$C$605,"&gt;="&amp;$B552)&gt;1,"Überschneidet sich mit eigenem Wunsch",IF(OR($B552&lt;Einstellungen!$B$3,$C552&gt;Einstellungen!$B$4),"Teils außerhalb des Planungsjahres","ok"))))))</f>
        <v/>
      </c>
      <c r="J552" s="14"/>
    </row>
    <row r="553" customFormat="false" ht="15" hidden="false" customHeight="false" outlineLevel="0" collapsed="false">
      <c r="A553" s="15"/>
      <c r="B553" s="14"/>
      <c r="C553" s="14"/>
      <c r="D553" s="15"/>
      <c r="E553" s="15"/>
      <c r="F553" s="12" t="str">
        <f aca="false">IF($A553="","",IFERROR(INDEX(Team!$B$5:$B$64,MATCH($A553,Team!$A$5:$A$64,0)),"?"))</f>
        <v/>
      </c>
      <c r="G553" s="13" t="str">
        <f aca="false">IF($A553="","",COUNTIF($A$6:$A553,$A553)&amp;". Wunsch")</f>
        <v/>
      </c>
      <c r="H553" s="13" t="str">
        <f aca="false">IF(OR($A553="",$B553="",$C553="",$C553&lt;$B553),"",NETWORKDAYS($B553,$C553,Einstellungen!$N$7:$N$40))</f>
        <v/>
      </c>
      <c r="I553" s="12" t="str">
        <f aca="false">IF($A553="","",IF(OR($B553="",$C553=""),"Von und Bis eintragen",IF($C553&lt;$B553,"Bis liegt vor Von",IF(ISNA(MATCH($A553,Team!$A$5:$A$64,0)),"Name fehlt im Blatt Team",IF(COUNTIFS($A$6:$A$605,$A553,$B$6:$B$605,"&lt;="&amp;$C553,$C$6:$C$605,"&gt;="&amp;$B553)&gt;1,"Überschneidet sich mit eigenem Wunsch",IF(OR($B553&lt;Einstellungen!$B$3,$C553&gt;Einstellungen!$B$4),"Teils außerhalb des Planungsjahres","ok"))))))</f>
        <v/>
      </c>
      <c r="J553" s="14"/>
    </row>
    <row r="554" customFormat="false" ht="15" hidden="false" customHeight="false" outlineLevel="0" collapsed="false">
      <c r="A554" s="15"/>
      <c r="B554" s="14"/>
      <c r="C554" s="14"/>
      <c r="D554" s="15"/>
      <c r="E554" s="15"/>
      <c r="F554" s="12" t="str">
        <f aca="false">IF($A554="","",IFERROR(INDEX(Team!$B$5:$B$64,MATCH($A554,Team!$A$5:$A$64,0)),"?"))</f>
        <v/>
      </c>
      <c r="G554" s="13" t="str">
        <f aca="false">IF($A554="","",COUNTIF($A$6:$A554,$A554)&amp;". Wunsch")</f>
        <v/>
      </c>
      <c r="H554" s="13" t="str">
        <f aca="false">IF(OR($A554="",$B554="",$C554="",$C554&lt;$B554),"",NETWORKDAYS($B554,$C554,Einstellungen!$N$7:$N$40))</f>
        <v/>
      </c>
      <c r="I554" s="12" t="str">
        <f aca="false">IF($A554="","",IF(OR($B554="",$C554=""),"Von und Bis eintragen",IF($C554&lt;$B554,"Bis liegt vor Von",IF(ISNA(MATCH($A554,Team!$A$5:$A$64,0)),"Name fehlt im Blatt Team",IF(COUNTIFS($A$6:$A$605,$A554,$B$6:$B$605,"&lt;="&amp;$C554,$C$6:$C$605,"&gt;="&amp;$B554)&gt;1,"Überschneidet sich mit eigenem Wunsch",IF(OR($B554&lt;Einstellungen!$B$3,$C554&gt;Einstellungen!$B$4),"Teils außerhalb des Planungsjahres","ok"))))))</f>
        <v/>
      </c>
      <c r="J554" s="14"/>
    </row>
    <row r="555" customFormat="false" ht="15" hidden="false" customHeight="false" outlineLevel="0" collapsed="false">
      <c r="A555" s="15"/>
      <c r="B555" s="14"/>
      <c r="C555" s="14"/>
      <c r="D555" s="15"/>
      <c r="E555" s="15"/>
      <c r="F555" s="12" t="str">
        <f aca="false">IF($A555="","",IFERROR(INDEX(Team!$B$5:$B$64,MATCH($A555,Team!$A$5:$A$64,0)),"?"))</f>
        <v/>
      </c>
      <c r="G555" s="13" t="str">
        <f aca="false">IF($A555="","",COUNTIF($A$6:$A555,$A555)&amp;". Wunsch")</f>
        <v/>
      </c>
      <c r="H555" s="13" t="str">
        <f aca="false">IF(OR($A555="",$B555="",$C555="",$C555&lt;$B555),"",NETWORKDAYS($B555,$C555,Einstellungen!$N$7:$N$40))</f>
        <v/>
      </c>
      <c r="I555" s="12" t="str">
        <f aca="false">IF($A555="","",IF(OR($B555="",$C555=""),"Von und Bis eintragen",IF($C555&lt;$B555,"Bis liegt vor Von",IF(ISNA(MATCH($A555,Team!$A$5:$A$64,0)),"Name fehlt im Blatt Team",IF(COUNTIFS($A$6:$A$605,$A555,$B$6:$B$605,"&lt;="&amp;$C555,$C$6:$C$605,"&gt;="&amp;$B555)&gt;1,"Überschneidet sich mit eigenem Wunsch",IF(OR($B555&lt;Einstellungen!$B$3,$C555&gt;Einstellungen!$B$4),"Teils außerhalb des Planungsjahres","ok"))))))</f>
        <v/>
      </c>
      <c r="J555" s="14"/>
    </row>
    <row r="556" customFormat="false" ht="15" hidden="false" customHeight="false" outlineLevel="0" collapsed="false">
      <c r="A556" s="15"/>
      <c r="B556" s="14"/>
      <c r="C556" s="14"/>
      <c r="D556" s="15"/>
      <c r="E556" s="15"/>
      <c r="F556" s="12" t="str">
        <f aca="false">IF($A556="","",IFERROR(INDEX(Team!$B$5:$B$64,MATCH($A556,Team!$A$5:$A$64,0)),"?"))</f>
        <v/>
      </c>
      <c r="G556" s="13" t="str">
        <f aca="false">IF($A556="","",COUNTIF($A$6:$A556,$A556)&amp;". Wunsch")</f>
        <v/>
      </c>
      <c r="H556" s="13" t="str">
        <f aca="false">IF(OR($A556="",$B556="",$C556="",$C556&lt;$B556),"",NETWORKDAYS($B556,$C556,Einstellungen!$N$7:$N$40))</f>
        <v/>
      </c>
      <c r="I556" s="12" t="str">
        <f aca="false">IF($A556="","",IF(OR($B556="",$C556=""),"Von und Bis eintragen",IF($C556&lt;$B556,"Bis liegt vor Von",IF(ISNA(MATCH($A556,Team!$A$5:$A$64,0)),"Name fehlt im Blatt Team",IF(COUNTIFS($A$6:$A$605,$A556,$B$6:$B$605,"&lt;="&amp;$C556,$C$6:$C$605,"&gt;="&amp;$B556)&gt;1,"Überschneidet sich mit eigenem Wunsch",IF(OR($B556&lt;Einstellungen!$B$3,$C556&gt;Einstellungen!$B$4),"Teils außerhalb des Planungsjahres","ok"))))))</f>
        <v/>
      </c>
      <c r="J556" s="14"/>
    </row>
    <row r="557" customFormat="false" ht="15" hidden="false" customHeight="false" outlineLevel="0" collapsed="false">
      <c r="A557" s="15"/>
      <c r="B557" s="14"/>
      <c r="C557" s="14"/>
      <c r="D557" s="15"/>
      <c r="E557" s="15"/>
      <c r="F557" s="12" t="str">
        <f aca="false">IF($A557="","",IFERROR(INDEX(Team!$B$5:$B$64,MATCH($A557,Team!$A$5:$A$64,0)),"?"))</f>
        <v/>
      </c>
      <c r="G557" s="13" t="str">
        <f aca="false">IF($A557="","",COUNTIF($A$6:$A557,$A557)&amp;". Wunsch")</f>
        <v/>
      </c>
      <c r="H557" s="13" t="str">
        <f aca="false">IF(OR($A557="",$B557="",$C557="",$C557&lt;$B557),"",NETWORKDAYS($B557,$C557,Einstellungen!$N$7:$N$40))</f>
        <v/>
      </c>
      <c r="I557" s="12" t="str">
        <f aca="false">IF($A557="","",IF(OR($B557="",$C557=""),"Von und Bis eintragen",IF($C557&lt;$B557,"Bis liegt vor Von",IF(ISNA(MATCH($A557,Team!$A$5:$A$64,0)),"Name fehlt im Blatt Team",IF(COUNTIFS($A$6:$A$605,$A557,$B$6:$B$605,"&lt;="&amp;$C557,$C$6:$C$605,"&gt;="&amp;$B557)&gt;1,"Überschneidet sich mit eigenem Wunsch",IF(OR($B557&lt;Einstellungen!$B$3,$C557&gt;Einstellungen!$B$4),"Teils außerhalb des Planungsjahres","ok"))))))</f>
        <v/>
      </c>
      <c r="J557" s="14"/>
    </row>
    <row r="558" customFormat="false" ht="15" hidden="false" customHeight="false" outlineLevel="0" collapsed="false">
      <c r="A558" s="15"/>
      <c r="B558" s="14"/>
      <c r="C558" s="14"/>
      <c r="D558" s="15"/>
      <c r="E558" s="15"/>
      <c r="F558" s="12" t="str">
        <f aca="false">IF($A558="","",IFERROR(INDEX(Team!$B$5:$B$64,MATCH($A558,Team!$A$5:$A$64,0)),"?"))</f>
        <v/>
      </c>
      <c r="G558" s="13" t="str">
        <f aca="false">IF($A558="","",COUNTIF($A$6:$A558,$A558)&amp;". Wunsch")</f>
        <v/>
      </c>
      <c r="H558" s="13" t="str">
        <f aca="false">IF(OR($A558="",$B558="",$C558="",$C558&lt;$B558),"",NETWORKDAYS($B558,$C558,Einstellungen!$N$7:$N$40))</f>
        <v/>
      </c>
      <c r="I558" s="12" t="str">
        <f aca="false">IF($A558="","",IF(OR($B558="",$C558=""),"Von und Bis eintragen",IF($C558&lt;$B558,"Bis liegt vor Von",IF(ISNA(MATCH($A558,Team!$A$5:$A$64,0)),"Name fehlt im Blatt Team",IF(COUNTIFS($A$6:$A$605,$A558,$B$6:$B$605,"&lt;="&amp;$C558,$C$6:$C$605,"&gt;="&amp;$B558)&gt;1,"Überschneidet sich mit eigenem Wunsch",IF(OR($B558&lt;Einstellungen!$B$3,$C558&gt;Einstellungen!$B$4),"Teils außerhalb des Planungsjahres","ok"))))))</f>
        <v/>
      </c>
      <c r="J558" s="14"/>
    </row>
    <row r="559" customFormat="false" ht="15" hidden="false" customHeight="false" outlineLevel="0" collapsed="false">
      <c r="A559" s="15"/>
      <c r="B559" s="14"/>
      <c r="C559" s="14"/>
      <c r="D559" s="15"/>
      <c r="E559" s="15"/>
      <c r="F559" s="12" t="str">
        <f aca="false">IF($A559="","",IFERROR(INDEX(Team!$B$5:$B$64,MATCH($A559,Team!$A$5:$A$64,0)),"?"))</f>
        <v/>
      </c>
      <c r="G559" s="13" t="str">
        <f aca="false">IF($A559="","",COUNTIF($A$6:$A559,$A559)&amp;". Wunsch")</f>
        <v/>
      </c>
      <c r="H559" s="13" t="str">
        <f aca="false">IF(OR($A559="",$B559="",$C559="",$C559&lt;$B559),"",NETWORKDAYS($B559,$C559,Einstellungen!$N$7:$N$40))</f>
        <v/>
      </c>
      <c r="I559" s="12" t="str">
        <f aca="false">IF($A559="","",IF(OR($B559="",$C559=""),"Von und Bis eintragen",IF($C559&lt;$B559,"Bis liegt vor Von",IF(ISNA(MATCH($A559,Team!$A$5:$A$64,0)),"Name fehlt im Blatt Team",IF(COUNTIFS($A$6:$A$605,$A559,$B$6:$B$605,"&lt;="&amp;$C559,$C$6:$C$605,"&gt;="&amp;$B559)&gt;1,"Überschneidet sich mit eigenem Wunsch",IF(OR($B559&lt;Einstellungen!$B$3,$C559&gt;Einstellungen!$B$4),"Teils außerhalb des Planungsjahres","ok"))))))</f>
        <v/>
      </c>
      <c r="J559" s="14"/>
    </row>
    <row r="560" customFormat="false" ht="15" hidden="false" customHeight="false" outlineLevel="0" collapsed="false">
      <c r="A560" s="15"/>
      <c r="B560" s="14"/>
      <c r="C560" s="14"/>
      <c r="D560" s="15"/>
      <c r="E560" s="15"/>
      <c r="F560" s="12" t="str">
        <f aca="false">IF($A560="","",IFERROR(INDEX(Team!$B$5:$B$64,MATCH($A560,Team!$A$5:$A$64,0)),"?"))</f>
        <v/>
      </c>
      <c r="G560" s="13" t="str">
        <f aca="false">IF($A560="","",COUNTIF($A$6:$A560,$A560)&amp;". Wunsch")</f>
        <v/>
      </c>
      <c r="H560" s="13" t="str">
        <f aca="false">IF(OR($A560="",$B560="",$C560="",$C560&lt;$B560),"",NETWORKDAYS($B560,$C560,Einstellungen!$N$7:$N$40))</f>
        <v/>
      </c>
      <c r="I560" s="12" t="str">
        <f aca="false">IF($A560="","",IF(OR($B560="",$C560=""),"Von und Bis eintragen",IF($C560&lt;$B560,"Bis liegt vor Von",IF(ISNA(MATCH($A560,Team!$A$5:$A$64,0)),"Name fehlt im Blatt Team",IF(COUNTIFS($A$6:$A$605,$A560,$B$6:$B$605,"&lt;="&amp;$C560,$C$6:$C$605,"&gt;="&amp;$B560)&gt;1,"Überschneidet sich mit eigenem Wunsch",IF(OR($B560&lt;Einstellungen!$B$3,$C560&gt;Einstellungen!$B$4),"Teils außerhalb des Planungsjahres","ok"))))))</f>
        <v/>
      </c>
      <c r="J560" s="14"/>
    </row>
    <row r="561" customFormat="false" ht="15" hidden="false" customHeight="false" outlineLevel="0" collapsed="false">
      <c r="A561" s="15"/>
      <c r="B561" s="14"/>
      <c r="C561" s="14"/>
      <c r="D561" s="15"/>
      <c r="E561" s="15"/>
      <c r="F561" s="12" t="str">
        <f aca="false">IF($A561="","",IFERROR(INDEX(Team!$B$5:$B$64,MATCH($A561,Team!$A$5:$A$64,0)),"?"))</f>
        <v/>
      </c>
      <c r="G561" s="13" t="str">
        <f aca="false">IF($A561="","",COUNTIF($A$6:$A561,$A561)&amp;". Wunsch")</f>
        <v/>
      </c>
      <c r="H561" s="13" t="str">
        <f aca="false">IF(OR($A561="",$B561="",$C561="",$C561&lt;$B561),"",NETWORKDAYS($B561,$C561,Einstellungen!$N$7:$N$40))</f>
        <v/>
      </c>
      <c r="I561" s="12" t="str">
        <f aca="false">IF($A561="","",IF(OR($B561="",$C561=""),"Von und Bis eintragen",IF($C561&lt;$B561,"Bis liegt vor Von",IF(ISNA(MATCH($A561,Team!$A$5:$A$64,0)),"Name fehlt im Blatt Team",IF(COUNTIFS($A$6:$A$605,$A561,$B$6:$B$605,"&lt;="&amp;$C561,$C$6:$C$605,"&gt;="&amp;$B561)&gt;1,"Überschneidet sich mit eigenem Wunsch",IF(OR($B561&lt;Einstellungen!$B$3,$C561&gt;Einstellungen!$B$4),"Teils außerhalb des Planungsjahres","ok"))))))</f>
        <v/>
      </c>
      <c r="J561" s="14"/>
    </row>
    <row r="562" customFormat="false" ht="15" hidden="false" customHeight="false" outlineLevel="0" collapsed="false">
      <c r="A562" s="15"/>
      <c r="B562" s="14"/>
      <c r="C562" s="14"/>
      <c r="D562" s="15"/>
      <c r="E562" s="15"/>
      <c r="F562" s="12" t="str">
        <f aca="false">IF($A562="","",IFERROR(INDEX(Team!$B$5:$B$64,MATCH($A562,Team!$A$5:$A$64,0)),"?"))</f>
        <v/>
      </c>
      <c r="G562" s="13" t="str">
        <f aca="false">IF($A562="","",COUNTIF($A$6:$A562,$A562)&amp;". Wunsch")</f>
        <v/>
      </c>
      <c r="H562" s="13" t="str">
        <f aca="false">IF(OR($A562="",$B562="",$C562="",$C562&lt;$B562),"",NETWORKDAYS($B562,$C562,Einstellungen!$N$7:$N$40))</f>
        <v/>
      </c>
      <c r="I562" s="12" t="str">
        <f aca="false">IF($A562="","",IF(OR($B562="",$C562=""),"Von und Bis eintragen",IF($C562&lt;$B562,"Bis liegt vor Von",IF(ISNA(MATCH($A562,Team!$A$5:$A$64,0)),"Name fehlt im Blatt Team",IF(COUNTIFS($A$6:$A$605,$A562,$B$6:$B$605,"&lt;="&amp;$C562,$C$6:$C$605,"&gt;="&amp;$B562)&gt;1,"Überschneidet sich mit eigenem Wunsch",IF(OR($B562&lt;Einstellungen!$B$3,$C562&gt;Einstellungen!$B$4),"Teils außerhalb des Planungsjahres","ok"))))))</f>
        <v/>
      </c>
      <c r="J562" s="14"/>
    </row>
    <row r="563" customFormat="false" ht="15" hidden="false" customHeight="false" outlineLevel="0" collapsed="false">
      <c r="A563" s="15"/>
      <c r="B563" s="14"/>
      <c r="C563" s="14"/>
      <c r="D563" s="15"/>
      <c r="E563" s="15"/>
      <c r="F563" s="12" t="str">
        <f aca="false">IF($A563="","",IFERROR(INDEX(Team!$B$5:$B$64,MATCH($A563,Team!$A$5:$A$64,0)),"?"))</f>
        <v/>
      </c>
      <c r="G563" s="13" t="str">
        <f aca="false">IF($A563="","",COUNTIF($A$6:$A563,$A563)&amp;". Wunsch")</f>
        <v/>
      </c>
      <c r="H563" s="13" t="str">
        <f aca="false">IF(OR($A563="",$B563="",$C563="",$C563&lt;$B563),"",NETWORKDAYS($B563,$C563,Einstellungen!$N$7:$N$40))</f>
        <v/>
      </c>
      <c r="I563" s="12" t="str">
        <f aca="false">IF($A563="","",IF(OR($B563="",$C563=""),"Von und Bis eintragen",IF($C563&lt;$B563,"Bis liegt vor Von",IF(ISNA(MATCH($A563,Team!$A$5:$A$64,0)),"Name fehlt im Blatt Team",IF(COUNTIFS($A$6:$A$605,$A563,$B$6:$B$605,"&lt;="&amp;$C563,$C$6:$C$605,"&gt;="&amp;$B563)&gt;1,"Überschneidet sich mit eigenem Wunsch",IF(OR($B563&lt;Einstellungen!$B$3,$C563&gt;Einstellungen!$B$4),"Teils außerhalb des Planungsjahres","ok"))))))</f>
        <v/>
      </c>
      <c r="J563" s="14"/>
    </row>
    <row r="564" customFormat="false" ht="15" hidden="false" customHeight="false" outlineLevel="0" collapsed="false">
      <c r="A564" s="15"/>
      <c r="B564" s="14"/>
      <c r="C564" s="14"/>
      <c r="D564" s="15"/>
      <c r="E564" s="15"/>
      <c r="F564" s="12" t="str">
        <f aca="false">IF($A564="","",IFERROR(INDEX(Team!$B$5:$B$64,MATCH($A564,Team!$A$5:$A$64,0)),"?"))</f>
        <v/>
      </c>
      <c r="G564" s="13" t="str">
        <f aca="false">IF($A564="","",COUNTIF($A$6:$A564,$A564)&amp;". Wunsch")</f>
        <v/>
      </c>
      <c r="H564" s="13" t="str">
        <f aca="false">IF(OR($A564="",$B564="",$C564="",$C564&lt;$B564),"",NETWORKDAYS($B564,$C564,Einstellungen!$N$7:$N$40))</f>
        <v/>
      </c>
      <c r="I564" s="12" t="str">
        <f aca="false">IF($A564="","",IF(OR($B564="",$C564=""),"Von und Bis eintragen",IF($C564&lt;$B564,"Bis liegt vor Von",IF(ISNA(MATCH($A564,Team!$A$5:$A$64,0)),"Name fehlt im Blatt Team",IF(COUNTIFS($A$6:$A$605,$A564,$B$6:$B$605,"&lt;="&amp;$C564,$C$6:$C$605,"&gt;="&amp;$B564)&gt;1,"Überschneidet sich mit eigenem Wunsch",IF(OR($B564&lt;Einstellungen!$B$3,$C564&gt;Einstellungen!$B$4),"Teils außerhalb des Planungsjahres","ok"))))))</f>
        <v/>
      </c>
      <c r="J564" s="14"/>
    </row>
    <row r="565" customFormat="false" ht="15" hidden="false" customHeight="false" outlineLevel="0" collapsed="false">
      <c r="A565" s="15"/>
      <c r="B565" s="14"/>
      <c r="C565" s="14"/>
      <c r="D565" s="15"/>
      <c r="E565" s="15"/>
      <c r="F565" s="12" t="str">
        <f aca="false">IF($A565="","",IFERROR(INDEX(Team!$B$5:$B$64,MATCH($A565,Team!$A$5:$A$64,0)),"?"))</f>
        <v/>
      </c>
      <c r="G565" s="13" t="str">
        <f aca="false">IF($A565="","",COUNTIF($A$6:$A565,$A565)&amp;". Wunsch")</f>
        <v/>
      </c>
      <c r="H565" s="13" t="str">
        <f aca="false">IF(OR($A565="",$B565="",$C565="",$C565&lt;$B565),"",NETWORKDAYS($B565,$C565,Einstellungen!$N$7:$N$40))</f>
        <v/>
      </c>
      <c r="I565" s="12" t="str">
        <f aca="false">IF($A565="","",IF(OR($B565="",$C565=""),"Von und Bis eintragen",IF($C565&lt;$B565,"Bis liegt vor Von",IF(ISNA(MATCH($A565,Team!$A$5:$A$64,0)),"Name fehlt im Blatt Team",IF(COUNTIFS($A$6:$A$605,$A565,$B$6:$B$605,"&lt;="&amp;$C565,$C$6:$C$605,"&gt;="&amp;$B565)&gt;1,"Überschneidet sich mit eigenem Wunsch",IF(OR($B565&lt;Einstellungen!$B$3,$C565&gt;Einstellungen!$B$4),"Teils außerhalb des Planungsjahres","ok"))))))</f>
        <v/>
      </c>
      <c r="J565" s="14"/>
    </row>
    <row r="566" customFormat="false" ht="15" hidden="false" customHeight="false" outlineLevel="0" collapsed="false">
      <c r="A566" s="15"/>
      <c r="B566" s="14"/>
      <c r="C566" s="14"/>
      <c r="D566" s="15"/>
      <c r="E566" s="15"/>
      <c r="F566" s="12" t="str">
        <f aca="false">IF($A566="","",IFERROR(INDEX(Team!$B$5:$B$64,MATCH($A566,Team!$A$5:$A$64,0)),"?"))</f>
        <v/>
      </c>
      <c r="G566" s="13" t="str">
        <f aca="false">IF($A566="","",COUNTIF($A$6:$A566,$A566)&amp;". Wunsch")</f>
        <v/>
      </c>
      <c r="H566" s="13" t="str">
        <f aca="false">IF(OR($A566="",$B566="",$C566="",$C566&lt;$B566),"",NETWORKDAYS($B566,$C566,Einstellungen!$N$7:$N$40))</f>
        <v/>
      </c>
      <c r="I566" s="12" t="str">
        <f aca="false">IF($A566="","",IF(OR($B566="",$C566=""),"Von und Bis eintragen",IF($C566&lt;$B566,"Bis liegt vor Von",IF(ISNA(MATCH($A566,Team!$A$5:$A$64,0)),"Name fehlt im Blatt Team",IF(COUNTIFS($A$6:$A$605,$A566,$B$6:$B$605,"&lt;="&amp;$C566,$C$6:$C$605,"&gt;="&amp;$B566)&gt;1,"Überschneidet sich mit eigenem Wunsch",IF(OR($B566&lt;Einstellungen!$B$3,$C566&gt;Einstellungen!$B$4),"Teils außerhalb des Planungsjahres","ok"))))))</f>
        <v/>
      </c>
      <c r="J566" s="14"/>
    </row>
    <row r="567" customFormat="false" ht="15" hidden="false" customHeight="false" outlineLevel="0" collapsed="false">
      <c r="A567" s="15"/>
      <c r="B567" s="14"/>
      <c r="C567" s="14"/>
      <c r="D567" s="15"/>
      <c r="E567" s="15"/>
      <c r="F567" s="12" t="str">
        <f aca="false">IF($A567="","",IFERROR(INDEX(Team!$B$5:$B$64,MATCH($A567,Team!$A$5:$A$64,0)),"?"))</f>
        <v/>
      </c>
      <c r="G567" s="13" t="str">
        <f aca="false">IF($A567="","",COUNTIF($A$6:$A567,$A567)&amp;". Wunsch")</f>
        <v/>
      </c>
      <c r="H567" s="13" t="str">
        <f aca="false">IF(OR($A567="",$B567="",$C567="",$C567&lt;$B567),"",NETWORKDAYS($B567,$C567,Einstellungen!$N$7:$N$40))</f>
        <v/>
      </c>
      <c r="I567" s="12" t="str">
        <f aca="false">IF($A567="","",IF(OR($B567="",$C567=""),"Von und Bis eintragen",IF($C567&lt;$B567,"Bis liegt vor Von",IF(ISNA(MATCH($A567,Team!$A$5:$A$64,0)),"Name fehlt im Blatt Team",IF(COUNTIFS($A$6:$A$605,$A567,$B$6:$B$605,"&lt;="&amp;$C567,$C$6:$C$605,"&gt;="&amp;$B567)&gt;1,"Überschneidet sich mit eigenem Wunsch",IF(OR($B567&lt;Einstellungen!$B$3,$C567&gt;Einstellungen!$B$4),"Teils außerhalb des Planungsjahres","ok"))))))</f>
        <v/>
      </c>
      <c r="J567" s="14"/>
    </row>
    <row r="568" customFormat="false" ht="15" hidden="false" customHeight="false" outlineLevel="0" collapsed="false">
      <c r="A568" s="15"/>
      <c r="B568" s="14"/>
      <c r="C568" s="14"/>
      <c r="D568" s="15"/>
      <c r="E568" s="15"/>
      <c r="F568" s="12" t="str">
        <f aca="false">IF($A568="","",IFERROR(INDEX(Team!$B$5:$B$64,MATCH($A568,Team!$A$5:$A$64,0)),"?"))</f>
        <v/>
      </c>
      <c r="G568" s="13" t="str">
        <f aca="false">IF($A568="","",COUNTIF($A$6:$A568,$A568)&amp;". Wunsch")</f>
        <v/>
      </c>
      <c r="H568" s="13" t="str">
        <f aca="false">IF(OR($A568="",$B568="",$C568="",$C568&lt;$B568),"",NETWORKDAYS($B568,$C568,Einstellungen!$N$7:$N$40))</f>
        <v/>
      </c>
      <c r="I568" s="12" t="str">
        <f aca="false">IF($A568="","",IF(OR($B568="",$C568=""),"Von und Bis eintragen",IF($C568&lt;$B568,"Bis liegt vor Von",IF(ISNA(MATCH($A568,Team!$A$5:$A$64,0)),"Name fehlt im Blatt Team",IF(COUNTIFS($A$6:$A$605,$A568,$B$6:$B$605,"&lt;="&amp;$C568,$C$6:$C$605,"&gt;="&amp;$B568)&gt;1,"Überschneidet sich mit eigenem Wunsch",IF(OR($B568&lt;Einstellungen!$B$3,$C568&gt;Einstellungen!$B$4),"Teils außerhalb des Planungsjahres","ok"))))))</f>
        <v/>
      </c>
      <c r="J568" s="14"/>
    </row>
    <row r="569" customFormat="false" ht="15" hidden="false" customHeight="false" outlineLevel="0" collapsed="false">
      <c r="A569" s="15"/>
      <c r="B569" s="14"/>
      <c r="C569" s="14"/>
      <c r="D569" s="15"/>
      <c r="E569" s="15"/>
      <c r="F569" s="12" t="str">
        <f aca="false">IF($A569="","",IFERROR(INDEX(Team!$B$5:$B$64,MATCH($A569,Team!$A$5:$A$64,0)),"?"))</f>
        <v/>
      </c>
      <c r="G569" s="13" t="str">
        <f aca="false">IF($A569="","",COUNTIF($A$6:$A569,$A569)&amp;". Wunsch")</f>
        <v/>
      </c>
      <c r="H569" s="13" t="str">
        <f aca="false">IF(OR($A569="",$B569="",$C569="",$C569&lt;$B569),"",NETWORKDAYS($B569,$C569,Einstellungen!$N$7:$N$40))</f>
        <v/>
      </c>
      <c r="I569" s="12" t="str">
        <f aca="false">IF($A569="","",IF(OR($B569="",$C569=""),"Von und Bis eintragen",IF($C569&lt;$B569,"Bis liegt vor Von",IF(ISNA(MATCH($A569,Team!$A$5:$A$64,0)),"Name fehlt im Blatt Team",IF(COUNTIFS($A$6:$A$605,$A569,$B$6:$B$605,"&lt;="&amp;$C569,$C$6:$C$605,"&gt;="&amp;$B569)&gt;1,"Überschneidet sich mit eigenem Wunsch",IF(OR($B569&lt;Einstellungen!$B$3,$C569&gt;Einstellungen!$B$4),"Teils außerhalb des Planungsjahres","ok"))))))</f>
        <v/>
      </c>
      <c r="J569" s="14"/>
    </row>
    <row r="570" customFormat="false" ht="15" hidden="false" customHeight="false" outlineLevel="0" collapsed="false">
      <c r="A570" s="15"/>
      <c r="B570" s="14"/>
      <c r="C570" s="14"/>
      <c r="D570" s="15"/>
      <c r="E570" s="15"/>
      <c r="F570" s="12" t="str">
        <f aca="false">IF($A570="","",IFERROR(INDEX(Team!$B$5:$B$64,MATCH($A570,Team!$A$5:$A$64,0)),"?"))</f>
        <v/>
      </c>
      <c r="G570" s="13" t="str">
        <f aca="false">IF($A570="","",COUNTIF($A$6:$A570,$A570)&amp;". Wunsch")</f>
        <v/>
      </c>
      <c r="H570" s="13" t="str">
        <f aca="false">IF(OR($A570="",$B570="",$C570="",$C570&lt;$B570),"",NETWORKDAYS($B570,$C570,Einstellungen!$N$7:$N$40))</f>
        <v/>
      </c>
      <c r="I570" s="12" t="str">
        <f aca="false">IF($A570="","",IF(OR($B570="",$C570=""),"Von und Bis eintragen",IF($C570&lt;$B570,"Bis liegt vor Von",IF(ISNA(MATCH($A570,Team!$A$5:$A$64,0)),"Name fehlt im Blatt Team",IF(COUNTIFS($A$6:$A$605,$A570,$B$6:$B$605,"&lt;="&amp;$C570,$C$6:$C$605,"&gt;="&amp;$B570)&gt;1,"Überschneidet sich mit eigenem Wunsch",IF(OR($B570&lt;Einstellungen!$B$3,$C570&gt;Einstellungen!$B$4),"Teils außerhalb des Planungsjahres","ok"))))))</f>
        <v/>
      </c>
      <c r="J570" s="14"/>
    </row>
    <row r="571" customFormat="false" ht="15" hidden="false" customHeight="false" outlineLevel="0" collapsed="false">
      <c r="A571" s="15"/>
      <c r="B571" s="14"/>
      <c r="C571" s="14"/>
      <c r="D571" s="15"/>
      <c r="E571" s="15"/>
      <c r="F571" s="12" t="str">
        <f aca="false">IF($A571="","",IFERROR(INDEX(Team!$B$5:$B$64,MATCH($A571,Team!$A$5:$A$64,0)),"?"))</f>
        <v/>
      </c>
      <c r="G571" s="13" t="str">
        <f aca="false">IF($A571="","",COUNTIF($A$6:$A571,$A571)&amp;". Wunsch")</f>
        <v/>
      </c>
      <c r="H571" s="13" t="str">
        <f aca="false">IF(OR($A571="",$B571="",$C571="",$C571&lt;$B571),"",NETWORKDAYS($B571,$C571,Einstellungen!$N$7:$N$40))</f>
        <v/>
      </c>
      <c r="I571" s="12" t="str">
        <f aca="false">IF($A571="","",IF(OR($B571="",$C571=""),"Von und Bis eintragen",IF($C571&lt;$B571,"Bis liegt vor Von",IF(ISNA(MATCH($A571,Team!$A$5:$A$64,0)),"Name fehlt im Blatt Team",IF(COUNTIFS($A$6:$A$605,$A571,$B$6:$B$605,"&lt;="&amp;$C571,$C$6:$C$605,"&gt;="&amp;$B571)&gt;1,"Überschneidet sich mit eigenem Wunsch",IF(OR($B571&lt;Einstellungen!$B$3,$C571&gt;Einstellungen!$B$4),"Teils außerhalb des Planungsjahres","ok"))))))</f>
        <v/>
      </c>
      <c r="J571" s="14"/>
    </row>
    <row r="572" customFormat="false" ht="15" hidden="false" customHeight="false" outlineLevel="0" collapsed="false">
      <c r="A572" s="15"/>
      <c r="B572" s="14"/>
      <c r="C572" s="14"/>
      <c r="D572" s="15"/>
      <c r="E572" s="15"/>
      <c r="F572" s="12" t="str">
        <f aca="false">IF($A572="","",IFERROR(INDEX(Team!$B$5:$B$64,MATCH($A572,Team!$A$5:$A$64,0)),"?"))</f>
        <v/>
      </c>
      <c r="G572" s="13" t="str">
        <f aca="false">IF($A572="","",COUNTIF($A$6:$A572,$A572)&amp;". Wunsch")</f>
        <v/>
      </c>
      <c r="H572" s="13" t="str">
        <f aca="false">IF(OR($A572="",$B572="",$C572="",$C572&lt;$B572),"",NETWORKDAYS($B572,$C572,Einstellungen!$N$7:$N$40))</f>
        <v/>
      </c>
      <c r="I572" s="12" t="str">
        <f aca="false">IF($A572="","",IF(OR($B572="",$C572=""),"Von und Bis eintragen",IF($C572&lt;$B572,"Bis liegt vor Von",IF(ISNA(MATCH($A572,Team!$A$5:$A$64,0)),"Name fehlt im Blatt Team",IF(COUNTIFS($A$6:$A$605,$A572,$B$6:$B$605,"&lt;="&amp;$C572,$C$6:$C$605,"&gt;="&amp;$B572)&gt;1,"Überschneidet sich mit eigenem Wunsch",IF(OR($B572&lt;Einstellungen!$B$3,$C572&gt;Einstellungen!$B$4),"Teils außerhalb des Planungsjahres","ok"))))))</f>
        <v/>
      </c>
      <c r="J572" s="14"/>
    </row>
    <row r="573" customFormat="false" ht="15" hidden="false" customHeight="false" outlineLevel="0" collapsed="false">
      <c r="A573" s="15"/>
      <c r="B573" s="14"/>
      <c r="C573" s="14"/>
      <c r="D573" s="15"/>
      <c r="E573" s="15"/>
      <c r="F573" s="12" t="str">
        <f aca="false">IF($A573="","",IFERROR(INDEX(Team!$B$5:$B$64,MATCH($A573,Team!$A$5:$A$64,0)),"?"))</f>
        <v/>
      </c>
      <c r="G573" s="13" t="str">
        <f aca="false">IF($A573="","",COUNTIF($A$6:$A573,$A573)&amp;". Wunsch")</f>
        <v/>
      </c>
      <c r="H573" s="13" t="str">
        <f aca="false">IF(OR($A573="",$B573="",$C573="",$C573&lt;$B573),"",NETWORKDAYS($B573,$C573,Einstellungen!$N$7:$N$40))</f>
        <v/>
      </c>
      <c r="I573" s="12" t="str">
        <f aca="false">IF($A573="","",IF(OR($B573="",$C573=""),"Von und Bis eintragen",IF($C573&lt;$B573,"Bis liegt vor Von",IF(ISNA(MATCH($A573,Team!$A$5:$A$64,0)),"Name fehlt im Blatt Team",IF(COUNTIFS($A$6:$A$605,$A573,$B$6:$B$605,"&lt;="&amp;$C573,$C$6:$C$605,"&gt;="&amp;$B573)&gt;1,"Überschneidet sich mit eigenem Wunsch",IF(OR($B573&lt;Einstellungen!$B$3,$C573&gt;Einstellungen!$B$4),"Teils außerhalb des Planungsjahres","ok"))))))</f>
        <v/>
      </c>
      <c r="J573" s="14"/>
    </row>
    <row r="574" customFormat="false" ht="15" hidden="false" customHeight="false" outlineLevel="0" collapsed="false">
      <c r="A574" s="15"/>
      <c r="B574" s="14"/>
      <c r="C574" s="14"/>
      <c r="D574" s="15"/>
      <c r="E574" s="15"/>
      <c r="F574" s="12" t="str">
        <f aca="false">IF($A574="","",IFERROR(INDEX(Team!$B$5:$B$64,MATCH($A574,Team!$A$5:$A$64,0)),"?"))</f>
        <v/>
      </c>
      <c r="G574" s="13" t="str">
        <f aca="false">IF($A574="","",COUNTIF($A$6:$A574,$A574)&amp;". Wunsch")</f>
        <v/>
      </c>
      <c r="H574" s="13" t="str">
        <f aca="false">IF(OR($A574="",$B574="",$C574="",$C574&lt;$B574),"",NETWORKDAYS($B574,$C574,Einstellungen!$N$7:$N$40))</f>
        <v/>
      </c>
      <c r="I574" s="12" t="str">
        <f aca="false">IF($A574="","",IF(OR($B574="",$C574=""),"Von und Bis eintragen",IF($C574&lt;$B574,"Bis liegt vor Von",IF(ISNA(MATCH($A574,Team!$A$5:$A$64,0)),"Name fehlt im Blatt Team",IF(COUNTIFS($A$6:$A$605,$A574,$B$6:$B$605,"&lt;="&amp;$C574,$C$6:$C$605,"&gt;="&amp;$B574)&gt;1,"Überschneidet sich mit eigenem Wunsch",IF(OR($B574&lt;Einstellungen!$B$3,$C574&gt;Einstellungen!$B$4),"Teils außerhalb des Planungsjahres","ok"))))))</f>
        <v/>
      </c>
      <c r="J574" s="14"/>
    </row>
    <row r="575" customFormat="false" ht="15" hidden="false" customHeight="false" outlineLevel="0" collapsed="false">
      <c r="A575" s="15"/>
      <c r="B575" s="14"/>
      <c r="C575" s="14"/>
      <c r="D575" s="15"/>
      <c r="E575" s="15"/>
      <c r="F575" s="12" t="str">
        <f aca="false">IF($A575="","",IFERROR(INDEX(Team!$B$5:$B$64,MATCH($A575,Team!$A$5:$A$64,0)),"?"))</f>
        <v/>
      </c>
      <c r="G575" s="13" t="str">
        <f aca="false">IF($A575="","",COUNTIF($A$6:$A575,$A575)&amp;". Wunsch")</f>
        <v/>
      </c>
      <c r="H575" s="13" t="str">
        <f aca="false">IF(OR($A575="",$B575="",$C575="",$C575&lt;$B575),"",NETWORKDAYS($B575,$C575,Einstellungen!$N$7:$N$40))</f>
        <v/>
      </c>
      <c r="I575" s="12" t="str">
        <f aca="false">IF($A575="","",IF(OR($B575="",$C575=""),"Von und Bis eintragen",IF($C575&lt;$B575,"Bis liegt vor Von",IF(ISNA(MATCH($A575,Team!$A$5:$A$64,0)),"Name fehlt im Blatt Team",IF(COUNTIFS($A$6:$A$605,$A575,$B$6:$B$605,"&lt;="&amp;$C575,$C$6:$C$605,"&gt;="&amp;$B575)&gt;1,"Überschneidet sich mit eigenem Wunsch",IF(OR($B575&lt;Einstellungen!$B$3,$C575&gt;Einstellungen!$B$4),"Teils außerhalb des Planungsjahres","ok"))))))</f>
        <v/>
      </c>
      <c r="J575" s="14"/>
    </row>
    <row r="576" customFormat="false" ht="15" hidden="false" customHeight="false" outlineLevel="0" collapsed="false">
      <c r="A576" s="15"/>
      <c r="B576" s="14"/>
      <c r="C576" s="14"/>
      <c r="D576" s="15"/>
      <c r="E576" s="15"/>
      <c r="F576" s="12" t="str">
        <f aca="false">IF($A576="","",IFERROR(INDEX(Team!$B$5:$B$64,MATCH($A576,Team!$A$5:$A$64,0)),"?"))</f>
        <v/>
      </c>
      <c r="G576" s="13" t="str">
        <f aca="false">IF($A576="","",COUNTIF($A$6:$A576,$A576)&amp;". Wunsch")</f>
        <v/>
      </c>
      <c r="H576" s="13" t="str">
        <f aca="false">IF(OR($A576="",$B576="",$C576="",$C576&lt;$B576),"",NETWORKDAYS($B576,$C576,Einstellungen!$N$7:$N$40))</f>
        <v/>
      </c>
      <c r="I576" s="12" t="str">
        <f aca="false">IF($A576="","",IF(OR($B576="",$C576=""),"Von und Bis eintragen",IF($C576&lt;$B576,"Bis liegt vor Von",IF(ISNA(MATCH($A576,Team!$A$5:$A$64,0)),"Name fehlt im Blatt Team",IF(COUNTIFS($A$6:$A$605,$A576,$B$6:$B$605,"&lt;="&amp;$C576,$C$6:$C$605,"&gt;="&amp;$B576)&gt;1,"Überschneidet sich mit eigenem Wunsch",IF(OR($B576&lt;Einstellungen!$B$3,$C576&gt;Einstellungen!$B$4),"Teils außerhalb des Planungsjahres","ok"))))))</f>
        <v/>
      </c>
      <c r="J576" s="14"/>
    </row>
    <row r="577" customFormat="false" ht="15" hidden="false" customHeight="false" outlineLevel="0" collapsed="false">
      <c r="A577" s="15"/>
      <c r="B577" s="14"/>
      <c r="C577" s="14"/>
      <c r="D577" s="15"/>
      <c r="E577" s="15"/>
      <c r="F577" s="12" t="str">
        <f aca="false">IF($A577="","",IFERROR(INDEX(Team!$B$5:$B$64,MATCH($A577,Team!$A$5:$A$64,0)),"?"))</f>
        <v/>
      </c>
      <c r="G577" s="13" t="str">
        <f aca="false">IF($A577="","",COUNTIF($A$6:$A577,$A577)&amp;". Wunsch")</f>
        <v/>
      </c>
      <c r="H577" s="13" t="str">
        <f aca="false">IF(OR($A577="",$B577="",$C577="",$C577&lt;$B577),"",NETWORKDAYS($B577,$C577,Einstellungen!$N$7:$N$40))</f>
        <v/>
      </c>
      <c r="I577" s="12" t="str">
        <f aca="false">IF($A577="","",IF(OR($B577="",$C577=""),"Von und Bis eintragen",IF($C577&lt;$B577,"Bis liegt vor Von",IF(ISNA(MATCH($A577,Team!$A$5:$A$64,0)),"Name fehlt im Blatt Team",IF(COUNTIFS($A$6:$A$605,$A577,$B$6:$B$605,"&lt;="&amp;$C577,$C$6:$C$605,"&gt;="&amp;$B577)&gt;1,"Überschneidet sich mit eigenem Wunsch",IF(OR($B577&lt;Einstellungen!$B$3,$C577&gt;Einstellungen!$B$4),"Teils außerhalb des Planungsjahres","ok"))))))</f>
        <v/>
      </c>
      <c r="J577" s="14"/>
    </row>
    <row r="578" customFormat="false" ht="15" hidden="false" customHeight="false" outlineLevel="0" collapsed="false">
      <c r="A578" s="15"/>
      <c r="B578" s="14"/>
      <c r="C578" s="14"/>
      <c r="D578" s="15"/>
      <c r="E578" s="15"/>
      <c r="F578" s="12" t="str">
        <f aca="false">IF($A578="","",IFERROR(INDEX(Team!$B$5:$B$64,MATCH($A578,Team!$A$5:$A$64,0)),"?"))</f>
        <v/>
      </c>
      <c r="G578" s="13" t="str">
        <f aca="false">IF($A578="","",COUNTIF($A$6:$A578,$A578)&amp;". Wunsch")</f>
        <v/>
      </c>
      <c r="H578" s="13" t="str">
        <f aca="false">IF(OR($A578="",$B578="",$C578="",$C578&lt;$B578),"",NETWORKDAYS($B578,$C578,Einstellungen!$N$7:$N$40))</f>
        <v/>
      </c>
      <c r="I578" s="12" t="str">
        <f aca="false">IF($A578="","",IF(OR($B578="",$C578=""),"Von und Bis eintragen",IF($C578&lt;$B578,"Bis liegt vor Von",IF(ISNA(MATCH($A578,Team!$A$5:$A$64,0)),"Name fehlt im Blatt Team",IF(COUNTIFS($A$6:$A$605,$A578,$B$6:$B$605,"&lt;="&amp;$C578,$C$6:$C$605,"&gt;="&amp;$B578)&gt;1,"Überschneidet sich mit eigenem Wunsch",IF(OR($B578&lt;Einstellungen!$B$3,$C578&gt;Einstellungen!$B$4),"Teils außerhalb des Planungsjahres","ok"))))))</f>
        <v/>
      </c>
      <c r="J578" s="14"/>
    </row>
    <row r="579" customFormat="false" ht="15" hidden="false" customHeight="false" outlineLevel="0" collapsed="false">
      <c r="A579" s="15"/>
      <c r="B579" s="14"/>
      <c r="C579" s="14"/>
      <c r="D579" s="15"/>
      <c r="E579" s="15"/>
      <c r="F579" s="12" t="str">
        <f aca="false">IF($A579="","",IFERROR(INDEX(Team!$B$5:$B$64,MATCH($A579,Team!$A$5:$A$64,0)),"?"))</f>
        <v/>
      </c>
      <c r="G579" s="13" t="str">
        <f aca="false">IF($A579="","",COUNTIF($A$6:$A579,$A579)&amp;". Wunsch")</f>
        <v/>
      </c>
      <c r="H579" s="13" t="str">
        <f aca="false">IF(OR($A579="",$B579="",$C579="",$C579&lt;$B579),"",NETWORKDAYS($B579,$C579,Einstellungen!$N$7:$N$40))</f>
        <v/>
      </c>
      <c r="I579" s="12" t="str">
        <f aca="false">IF($A579="","",IF(OR($B579="",$C579=""),"Von und Bis eintragen",IF($C579&lt;$B579,"Bis liegt vor Von",IF(ISNA(MATCH($A579,Team!$A$5:$A$64,0)),"Name fehlt im Blatt Team",IF(COUNTIFS($A$6:$A$605,$A579,$B$6:$B$605,"&lt;="&amp;$C579,$C$6:$C$605,"&gt;="&amp;$B579)&gt;1,"Überschneidet sich mit eigenem Wunsch",IF(OR($B579&lt;Einstellungen!$B$3,$C579&gt;Einstellungen!$B$4),"Teils außerhalb des Planungsjahres","ok"))))))</f>
        <v/>
      </c>
      <c r="J579" s="14"/>
    </row>
    <row r="580" customFormat="false" ht="15" hidden="false" customHeight="false" outlineLevel="0" collapsed="false">
      <c r="A580" s="15"/>
      <c r="B580" s="14"/>
      <c r="C580" s="14"/>
      <c r="D580" s="15"/>
      <c r="E580" s="15"/>
      <c r="F580" s="12" t="str">
        <f aca="false">IF($A580="","",IFERROR(INDEX(Team!$B$5:$B$64,MATCH($A580,Team!$A$5:$A$64,0)),"?"))</f>
        <v/>
      </c>
      <c r="G580" s="13" t="str">
        <f aca="false">IF($A580="","",COUNTIF($A$6:$A580,$A580)&amp;". Wunsch")</f>
        <v/>
      </c>
      <c r="H580" s="13" t="str">
        <f aca="false">IF(OR($A580="",$B580="",$C580="",$C580&lt;$B580),"",NETWORKDAYS($B580,$C580,Einstellungen!$N$7:$N$40))</f>
        <v/>
      </c>
      <c r="I580" s="12" t="str">
        <f aca="false">IF($A580="","",IF(OR($B580="",$C580=""),"Von und Bis eintragen",IF($C580&lt;$B580,"Bis liegt vor Von",IF(ISNA(MATCH($A580,Team!$A$5:$A$64,0)),"Name fehlt im Blatt Team",IF(COUNTIFS($A$6:$A$605,$A580,$B$6:$B$605,"&lt;="&amp;$C580,$C$6:$C$605,"&gt;="&amp;$B580)&gt;1,"Überschneidet sich mit eigenem Wunsch",IF(OR($B580&lt;Einstellungen!$B$3,$C580&gt;Einstellungen!$B$4),"Teils außerhalb des Planungsjahres","ok"))))))</f>
        <v/>
      </c>
      <c r="J580" s="14"/>
    </row>
    <row r="581" customFormat="false" ht="15" hidden="false" customHeight="false" outlineLevel="0" collapsed="false">
      <c r="A581" s="15"/>
      <c r="B581" s="14"/>
      <c r="C581" s="14"/>
      <c r="D581" s="15"/>
      <c r="E581" s="15"/>
      <c r="F581" s="12" t="str">
        <f aca="false">IF($A581="","",IFERROR(INDEX(Team!$B$5:$B$64,MATCH($A581,Team!$A$5:$A$64,0)),"?"))</f>
        <v/>
      </c>
      <c r="G581" s="13" t="str">
        <f aca="false">IF($A581="","",COUNTIF($A$6:$A581,$A581)&amp;". Wunsch")</f>
        <v/>
      </c>
      <c r="H581" s="13" t="str">
        <f aca="false">IF(OR($A581="",$B581="",$C581="",$C581&lt;$B581),"",NETWORKDAYS($B581,$C581,Einstellungen!$N$7:$N$40))</f>
        <v/>
      </c>
      <c r="I581" s="12" t="str">
        <f aca="false">IF($A581="","",IF(OR($B581="",$C581=""),"Von und Bis eintragen",IF($C581&lt;$B581,"Bis liegt vor Von",IF(ISNA(MATCH($A581,Team!$A$5:$A$64,0)),"Name fehlt im Blatt Team",IF(COUNTIFS($A$6:$A$605,$A581,$B$6:$B$605,"&lt;="&amp;$C581,$C$6:$C$605,"&gt;="&amp;$B581)&gt;1,"Überschneidet sich mit eigenem Wunsch",IF(OR($B581&lt;Einstellungen!$B$3,$C581&gt;Einstellungen!$B$4),"Teils außerhalb des Planungsjahres","ok"))))))</f>
        <v/>
      </c>
      <c r="J581" s="14"/>
    </row>
    <row r="582" customFormat="false" ht="15" hidden="false" customHeight="false" outlineLevel="0" collapsed="false">
      <c r="A582" s="15"/>
      <c r="B582" s="14"/>
      <c r="C582" s="14"/>
      <c r="D582" s="15"/>
      <c r="E582" s="15"/>
      <c r="F582" s="12" t="str">
        <f aca="false">IF($A582="","",IFERROR(INDEX(Team!$B$5:$B$64,MATCH($A582,Team!$A$5:$A$64,0)),"?"))</f>
        <v/>
      </c>
      <c r="G582" s="13" t="str">
        <f aca="false">IF($A582="","",COUNTIF($A$6:$A582,$A582)&amp;". Wunsch")</f>
        <v/>
      </c>
      <c r="H582" s="13" t="str">
        <f aca="false">IF(OR($A582="",$B582="",$C582="",$C582&lt;$B582),"",NETWORKDAYS($B582,$C582,Einstellungen!$N$7:$N$40))</f>
        <v/>
      </c>
      <c r="I582" s="12" t="str">
        <f aca="false">IF($A582="","",IF(OR($B582="",$C582=""),"Von und Bis eintragen",IF($C582&lt;$B582,"Bis liegt vor Von",IF(ISNA(MATCH($A582,Team!$A$5:$A$64,0)),"Name fehlt im Blatt Team",IF(COUNTIFS($A$6:$A$605,$A582,$B$6:$B$605,"&lt;="&amp;$C582,$C$6:$C$605,"&gt;="&amp;$B582)&gt;1,"Überschneidet sich mit eigenem Wunsch",IF(OR($B582&lt;Einstellungen!$B$3,$C582&gt;Einstellungen!$B$4),"Teils außerhalb des Planungsjahres","ok"))))))</f>
        <v/>
      </c>
      <c r="J582" s="14"/>
    </row>
    <row r="583" customFormat="false" ht="15" hidden="false" customHeight="false" outlineLevel="0" collapsed="false">
      <c r="A583" s="15"/>
      <c r="B583" s="14"/>
      <c r="C583" s="14"/>
      <c r="D583" s="15"/>
      <c r="E583" s="15"/>
      <c r="F583" s="12" t="str">
        <f aca="false">IF($A583="","",IFERROR(INDEX(Team!$B$5:$B$64,MATCH($A583,Team!$A$5:$A$64,0)),"?"))</f>
        <v/>
      </c>
      <c r="G583" s="13" t="str">
        <f aca="false">IF($A583="","",COUNTIF($A$6:$A583,$A583)&amp;". Wunsch")</f>
        <v/>
      </c>
      <c r="H583" s="13" t="str">
        <f aca="false">IF(OR($A583="",$B583="",$C583="",$C583&lt;$B583),"",NETWORKDAYS($B583,$C583,Einstellungen!$N$7:$N$40))</f>
        <v/>
      </c>
      <c r="I583" s="12" t="str">
        <f aca="false">IF($A583="","",IF(OR($B583="",$C583=""),"Von und Bis eintragen",IF($C583&lt;$B583,"Bis liegt vor Von",IF(ISNA(MATCH($A583,Team!$A$5:$A$64,0)),"Name fehlt im Blatt Team",IF(COUNTIFS($A$6:$A$605,$A583,$B$6:$B$605,"&lt;="&amp;$C583,$C$6:$C$605,"&gt;="&amp;$B583)&gt;1,"Überschneidet sich mit eigenem Wunsch",IF(OR($B583&lt;Einstellungen!$B$3,$C583&gt;Einstellungen!$B$4),"Teils außerhalb des Planungsjahres","ok"))))))</f>
        <v/>
      </c>
      <c r="J583" s="14"/>
    </row>
    <row r="584" customFormat="false" ht="15" hidden="false" customHeight="false" outlineLevel="0" collapsed="false">
      <c r="A584" s="15"/>
      <c r="B584" s="14"/>
      <c r="C584" s="14"/>
      <c r="D584" s="15"/>
      <c r="E584" s="15"/>
      <c r="F584" s="12" t="str">
        <f aca="false">IF($A584="","",IFERROR(INDEX(Team!$B$5:$B$64,MATCH($A584,Team!$A$5:$A$64,0)),"?"))</f>
        <v/>
      </c>
      <c r="G584" s="13" t="str">
        <f aca="false">IF($A584="","",COUNTIF($A$6:$A584,$A584)&amp;". Wunsch")</f>
        <v/>
      </c>
      <c r="H584" s="13" t="str">
        <f aca="false">IF(OR($A584="",$B584="",$C584="",$C584&lt;$B584),"",NETWORKDAYS($B584,$C584,Einstellungen!$N$7:$N$40))</f>
        <v/>
      </c>
      <c r="I584" s="12" t="str">
        <f aca="false">IF($A584="","",IF(OR($B584="",$C584=""),"Von und Bis eintragen",IF($C584&lt;$B584,"Bis liegt vor Von",IF(ISNA(MATCH($A584,Team!$A$5:$A$64,0)),"Name fehlt im Blatt Team",IF(COUNTIFS($A$6:$A$605,$A584,$B$6:$B$605,"&lt;="&amp;$C584,$C$6:$C$605,"&gt;="&amp;$B584)&gt;1,"Überschneidet sich mit eigenem Wunsch",IF(OR($B584&lt;Einstellungen!$B$3,$C584&gt;Einstellungen!$B$4),"Teils außerhalb des Planungsjahres","ok"))))))</f>
        <v/>
      </c>
      <c r="J584" s="14"/>
    </row>
    <row r="585" customFormat="false" ht="15" hidden="false" customHeight="false" outlineLevel="0" collapsed="false">
      <c r="A585" s="15"/>
      <c r="B585" s="14"/>
      <c r="C585" s="14"/>
      <c r="D585" s="15"/>
      <c r="E585" s="15"/>
      <c r="F585" s="12" t="str">
        <f aca="false">IF($A585="","",IFERROR(INDEX(Team!$B$5:$B$64,MATCH($A585,Team!$A$5:$A$64,0)),"?"))</f>
        <v/>
      </c>
      <c r="G585" s="13" t="str">
        <f aca="false">IF($A585="","",COUNTIF($A$6:$A585,$A585)&amp;". Wunsch")</f>
        <v/>
      </c>
      <c r="H585" s="13" t="str">
        <f aca="false">IF(OR($A585="",$B585="",$C585="",$C585&lt;$B585),"",NETWORKDAYS($B585,$C585,Einstellungen!$N$7:$N$40))</f>
        <v/>
      </c>
      <c r="I585" s="12" t="str">
        <f aca="false">IF($A585="","",IF(OR($B585="",$C585=""),"Von und Bis eintragen",IF($C585&lt;$B585,"Bis liegt vor Von",IF(ISNA(MATCH($A585,Team!$A$5:$A$64,0)),"Name fehlt im Blatt Team",IF(COUNTIFS($A$6:$A$605,$A585,$B$6:$B$605,"&lt;="&amp;$C585,$C$6:$C$605,"&gt;="&amp;$B585)&gt;1,"Überschneidet sich mit eigenem Wunsch",IF(OR($B585&lt;Einstellungen!$B$3,$C585&gt;Einstellungen!$B$4),"Teils außerhalb des Planungsjahres","ok"))))))</f>
        <v/>
      </c>
      <c r="J585" s="14"/>
    </row>
    <row r="586" customFormat="false" ht="15" hidden="false" customHeight="false" outlineLevel="0" collapsed="false">
      <c r="A586" s="15"/>
      <c r="B586" s="14"/>
      <c r="C586" s="14"/>
      <c r="D586" s="15"/>
      <c r="E586" s="15"/>
      <c r="F586" s="12" t="str">
        <f aca="false">IF($A586="","",IFERROR(INDEX(Team!$B$5:$B$64,MATCH($A586,Team!$A$5:$A$64,0)),"?"))</f>
        <v/>
      </c>
      <c r="G586" s="13" t="str">
        <f aca="false">IF($A586="","",COUNTIF($A$6:$A586,$A586)&amp;". Wunsch")</f>
        <v/>
      </c>
      <c r="H586" s="13" t="str">
        <f aca="false">IF(OR($A586="",$B586="",$C586="",$C586&lt;$B586),"",NETWORKDAYS($B586,$C586,Einstellungen!$N$7:$N$40))</f>
        <v/>
      </c>
      <c r="I586" s="12" t="str">
        <f aca="false">IF($A586="","",IF(OR($B586="",$C586=""),"Von und Bis eintragen",IF($C586&lt;$B586,"Bis liegt vor Von",IF(ISNA(MATCH($A586,Team!$A$5:$A$64,0)),"Name fehlt im Blatt Team",IF(COUNTIFS($A$6:$A$605,$A586,$B$6:$B$605,"&lt;="&amp;$C586,$C$6:$C$605,"&gt;="&amp;$B586)&gt;1,"Überschneidet sich mit eigenem Wunsch",IF(OR($B586&lt;Einstellungen!$B$3,$C586&gt;Einstellungen!$B$4),"Teils außerhalb des Planungsjahres","ok"))))))</f>
        <v/>
      </c>
      <c r="J586" s="14"/>
    </row>
    <row r="587" customFormat="false" ht="15" hidden="false" customHeight="false" outlineLevel="0" collapsed="false">
      <c r="A587" s="15"/>
      <c r="B587" s="14"/>
      <c r="C587" s="14"/>
      <c r="D587" s="15"/>
      <c r="E587" s="15"/>
      <c r="F587" s="12" t="str">
        <f aca="false">IF($A587="","",IFERROR(INDEX(Team!$B$5:$B$64,MATCH($A587,Team!$A$5:$A$64,0)),"?"))</f>
        <v/>
      </c>
      <c r="G587" s="13" t="str">
        <f aca="false">IF($A587="","",COUNTIF($A$6:$A587,$A587)&amp;". Wunsch")</f>
        <v/>
      </c>
      <c r="H587" s="13" t="str">
        <f aca="false">IF(OR($A587="",$B587="",$C587="",$C587&lt;$B587),"",NETWORKDAYS($B587,$C587,Einstellungen!$N$7:$N$40))</f>
        <v/>
      </c>
      <c r="I587" s="12" t="str">
        <f aca="false">IF($A587="","",IF(OR($B587="",$C587=""),"Von und Bis eintragen",IF($C587&lt;$B587,"Bis liegt vor Von",IF(ISNA(MATCH($A587,Team!$A$5:$A$64,0)),"Name fehlt im Blatt Team",IF(COUNTIFS($A$6:$A$605,$A587,$B$6:$B$605,"&lt;="&amp;$C587,$C$6:$C$605,"&gt;="&amp;$B587)&gt;1,"Überschneidet sich mit eigenem Wunsch",IF(OR($B587&lt;Einstellungen!$B$3,$C587&gt;Einstellungen!$B$4),"Teils außerhalb des Planungsjahres","ok"))))))</f>
        <v/>
      </c>
      <c r="J587" s="14"/>
    </row>
    <row r="588" customFormat="false" ht="15" hidden="false" customHeight="false" outlineLevel="0" collapsed="false">
      <c r="A588" s="15"/>
      <c r="B588" s="14"/>
      <c r="C588" s="14"/>
      <c r="D588" s="15"/>
      <c r="E588" s="15"/>
      <c r="F588" s="12" t="str">
        <f aca="false">IF($A588="","",IFERROR(INDEX(Team!$B$5:$B$64,MATCH($A588,Team!$A$5:$A$64,0)),"?"))</f>
        <v/>
      </c>
      <c r="G588" s="13" t="str">
        <f aca="false">IF($A588="","",COUNTIF($A$6:$A588,$A588)&amp;". Wunsch")</f>
        <v/>
      </c>
      <c r="H588" s="13" t="str">
        <f aca="false">IF(OR($A588="",$B588="",$C588="",$C588&lt;$B588),"",NETWORKDAYS($B588,$C588,Einstellungen!$N$7:$N$40))</f>
        <v/>
      </c>
      <c r="I588" s="12" t="str">
        <f aca="false">IF($A588="","",IF(OR($B588="",$C588=""),"Von und Bis eintragen",IF($C588&lt;$B588,"Bis liegt vor Von",IF(ISNA(MATCH($A588,Team!$A$5:$A$64,0)),"Name fehlt im Blatt Team",IF(COUNTIFS($A$6:$A$605,$A588,$B$6:$B$605,"&lt;="&amp;$C588,$C$6:$C$605,"&gt;="&amp;$B588)&gt;1,"Überschneidet sich mit eigenem Wunsch",IF(OR($B588&lt;Einstellungen!$B$3,$C588&gt;Einstellungen!$B$4),"Teils außerhalb des Planungsjahres","ok"))))))</f>
        <v/>
      </c>
      <c r="J588" s="14"/>
    </row>
    <row r="589" customFormat="false" ht="15" hidden="false" customHeight="false" outlineLevel="0" collapsed="false">
      <c r="A589" s="15"/>
      <c r="B589" s="14"/>
      <c r="C589" s="14"/>
      <c r="D589" s="15"/>
      <c r="E589" s="15"/>
      <c r="F589" s="12" t="str">
        <f aca="false">IF($A589="","",IFERROR(INDEX(Team!$B$5:$B$64,MATCH($A589,Team!$A$5:$A$64,0)),"?"))</f>
        <v/>
      </c>
      <c r="G589" s="13" t="str">
        <f aca="false">IF($A589="","",COUNTIF($A$6:$A589,$A589)&amp;". Wunsch")</f>
        <v/>
      </c>
      <c r="H589" s="13" t="str">
        <f aca="false">IF(OR($A589="",$B589="",$C589="",$C589&lt;$B589),"",NETWORKDAYS($B589,$C589,Einstellungen!$N$7:$N$40))</f>
        <v/>
      </c>
      <c r="I589" s="12" t="str">
        <f aca="false">IF($A589="","",IF(OR($B589="",$C589=""),"Von und Bis eintragen",IF($C589&lt;$B589,"Bis liegt vor Von",IF(ISNA(MATCH($A589,Team!$A$5:$A$64,0)),"Name fehlt im Blatt Team",IF(COUNTIFS($A$6:$A$605,$A589,$B$6:$B$605,"&lt;="&amp;$C589,$C$6:$C$605,"&gt;="&amp;$B589)&gt;1,"Überschneidet sich mit eigenem Wunsch",IF(OR($B589&lt;Einstellungen!$B$3,$C589&gt;Einstellungen!$B$4),"Teils außerhalb des Planungsjahres","ok"))))))</f>
        <v/>
      </c>
      <c r="J589" s="14"/>
    </row>
    <row r="590" customFormat="false" ht="15" hidden="false" customHeight="false" outlineLevel="0" collapsed="false">
      <c r="A590" s="15"/>
      <c r="B590" s="14"/>
      <c r="C590" s="14"/>
      <c r="D590" s="15"/>
      <c r="E590" s="15"/>
      <c r="F590" s="12" t="str">
        <f aca="false">IF($A590="","",IFERROR(INDEX(Team!$B$5:$B$64,MATCH($A590,Team!$A$5:$A$64,0)),"?"))</f>
        <v/>
      </c>
      <c r="G590" s="13" t="str">
        <f aca="false">IF($A590="","",COUNTIF($A$6:$A590,$A590)&amp;". Wunsch")</f>
        <v/>
      </c>
      <c r="H590" s="13" t="str">
        <f aca="false">IF(OR($A590="",$B590="",$C590="",$C590&lt;$B590),"",NETWORKDAYS($B590,$C590,Einstellungen!$N$7:$N$40))</f>
        <v/>
      </c>
      <c r="I590" s="12" t="str">
        <f aca="false">IF($A590="","",IF(OR($B590="",$C590=""),"Von und Bis eintragen",IF($C590&lt;$B590,"Bis liegt vor Von",IF(ISNA(MATCH($A590,Team!$A$5:$A$64,0)),"Name fehlt im Blatt Team",IF(COUNTIFS($A$6:$A$605,$A590,$B$6:$B$605,"&lt;="&amp;$C590,$C$6:$C$605,"&gt;="&amp;$B590)&gt;1,"Überschneidet sich mit eigenem Wunsch",IF(OR($B590&lt;Einstellungen!$B$3,$C590&gt;Einstellungen!$B$4),"Teils außerhalb des Planungsjahres","ok"))))))</f>
        <v/>
      </c>
      <c r="J590" s="14"/>
    </row>
    <row r="591" customFormat="false" ht="15" hidden="false" customHeight="false" outlineLevel="0" collapsed="false">
      <c r="A591" s="15"/>
      <c r="B591" s="14"/>
      <c r="C591" s="14"/>
      <c r="D591" s="15"/>
      <c r="E591" s="15"/>
      <c r="F591" s="12" t="str">
        <f aca="false">IF($A591="","",IFERROR(INDEX(Team!$B$5:$B$64,MATCH($A591,Team!$A$5:$A$64,0)),"?"))</f>
        <v/>
      </c>
      <c r="G591" s="13" t="str">
        <f aca="false">IF($A591="","",COUNTIF($A$6:$A591,$A591)&amp;". Wunsch")</f>
        <v/>
      </c>
      <c r="H591" s="13" t="str">
        <f aca="false">IF(OR($A591="",$B591="",$C591="",$C591&lt;$B591),"",NETWORKDAYS($B591,$C591,Einstellungen!$N$7:$N$40))</f>
        <v/>
      </c>
      <c r="I591" s="12" t="str">
        <f aca="false">IF($A591="","",IF(OR($B591="",$C591=""),"Von und Bis eintragen",IF($C591&lt;$B591,"Bis liegt vor Von",IF(ISNA(MATCH($A591,Team!$A$5:$A$64,0)),"Name fehlt im Blatt Team",IF(COUNTIFS($A$6:$A$605,$A591,$B$6:$B$605,"&lt;="&amp;$C591,$C$6:$C$605,"&gt;="&amp;$B591)&gt;1,"Überschneidet sich mit eigenem Wunsch",IF(OR($B591&lt;Einstellungen!$B$3,$C591&gt;Einstellungen!$B$4),"Teils außerhalb des Planungsjahres","ok"))))))</f>
        <v/>
      </c>
      <c r="J591" s="14"/>
    </row>
    <row r="592" customFormat="false" ht="15" hidden="false" customHeight="false" outlineLevel="0" collapsed="false">
      <c r="A592" s="15"/>
      <c r="B592" s="14"/>
      <c r="C592" s="14"/>
      <c r="D592" s="15"/>
      <c r="E592" s="15"/>
      <c r="F592" s="12" t="str">
        <f aca="false">IF($A592="","",IFERROR(INDEX(Team!$B$5:$B$64,MATCH($A592,Team!$A$5:$A$64,0)),"?"))</f>
        <v/>
      </c>
      <c r="G592" s="13" t="str">
        <f aca="false">IF($A592="","",COUNTIF($A$6:$A592,$A592)&amp;". Wunsch")</f>
        <v/>
      </c>
      <c r="H592" s="13" t="str">
        <f aca="false">IF(OR($A592="",$B592="",$C592="",$C592&lt;$B592),"",NETWORKDAYS($B592,$C592,Einstellungen!$N$7:$N$40))</f>
        <v/>
      </c>
      <c r="I592" s="12" t="str">
        <f aca="false">IF($A592="","",IF(OR($B592="",$C592=""),"Von und Bis eintragen",IF($C592&lt;$B592,"Bis liegt vor Von",IF(ISNA(MATCH($A592,Team!$A$5:$A$64,0)),"Name fehlt im Blatt Team",IF(COUNTIFS($A$6:$A$605,$A592,$B$6:$B$605,"&lt;="&amp;$C592,$C$6:$C$605,"&gt;="&amp;$B592)&gt;1,"Überschneidet sich mit eigenem Wunsch",IF(OR($B592&lt;Einstellungen!$B$3,$C592&gt;Einstellungen!$B$4),"Teils außerhalb des Planungsjahres","ok"))))))</f>
        <v/>
      </c>
      <c r="J592" s="14"/>
    </row>
    <row r="593" customFormat="false" ht="15" hidden="false" customHeight="false" outlineLevel="0" collapsed="false">
      <c r="A593" s="15"/>
      <c r="B593" s="14"/>
      <c r="C593" s="14"/>
      <c r="D593" s="15"/>
      <c r="E593" s="15"/>
      <c r="F593" s="12" t="str">
        <f aca="false">IF($A593="","",IFERROR(INDEX(Team!$B$5:$B$64,MATCH($A593,Team!$A$5:$A$64,0)),"?"))</f>
        <v/>
      </c>
      <c r="G593" s="13" t="str">
        <f aca="false">IF($A593="","",COUNTIF($A$6:$A593,$A593)&amp;". Wunsch")</f>
        <v/>
      </c>
      <c r="H593" s="13" t="str">
        <f aca="false">IF(OR($A593="",$B593="",$C593="",$C593&lt;$B593),"",NETWORKDAYS($B593,$C593,Einstellungen!$N$7:$N$40))</f>
        <v/>
      </c>
      <c r="I593" s="12" t="str">
        <f aca="false">IF($A593="","",IF(OR($B593="",$C593=""),"Von und Bis eintragen",IF($C593&lt;$B593,"Bis liegt vor Von",IF(ISNA(MATCH($A593,Team!$A$5:$A$64,0)),"Name fehlt im Blatt Team",IF(COUNTIFS($A$6:$A$605,$A593,$B$6:$B$605,"&lt;="&amp;$C593,$C$6:$C$605,"&gt;="&amp;$B593)&gt;1,"Überschneidet sich mit eigenem Wunsch",IF(OR($B593&lt;Einstellungen!$B$3,$C593&gt;Einstellungen!$B$4),"Teils außerhalb des Planungsjahres","ok"))))))</f>
        <v/>
      </c>
      <c r="J593" s="14"/>
    </row>
    <row r="594" customFormat="false" ht="15" hidden="false" customHeight="false" outlineLevel="0" collapsed="false">
      <c r="A594" s="15"/>
      <c r="B594" s="14"/>
      <c r="C594" s="14"/>
      <c r="D594" s="15"/>
      <c r="E594" s="15"/>
      <c r="F594" s="12" t="str">
        <f aca="false">IF($A594="","",IFERROR(INDEX(Team!$B$5:$B$64,MATCH($A594,Team!$A$5:$A$64,0)),"?"))</f>
        <v/>
      </c>
      <c r="G594" s="13" t="str">
        <f aca="false">IF($A594="","",COUNTIF($A$6:$A594,$A594)&amp;". Wunsch")</f>
        <v/>
      </c>
      <c r="H594" s="13" t="str">
        <f aca="false">IF(OR($A594="",$B594="",$C594="",$C594&lt;$B594),"",NETWORKDAYS($B594,$C594,Einstellungen!$N$7:$N$40))</f>
        <v/>
      </c>
      <c r="I594" s="12" t="str">
        <f aca="false">IF($A594="","",IF(OR($B594="",$C594=""),"Von und Bis eintragen",IF($C594&lt;$B594,"Bis liegt vor Von",IF(ISNA(MATCH($A594,Team!$A$5:$A$64,0)),"Name fehlt im Blatt Team",IF(COUNTIFS($A$6:$A$605,$A594,$B$6:$B$605,"&lt;="&amp;$C594,$C$6:$C$605,"&gt;="&amp;$B594)&gt;1,"Überschneidet sich mit eigenem Wunsch",IF(OR($B594&lt;Einstellungen!$B$3,$C594&gt;Einstellungen!$B$4),"Teils außerhalb des Planungsjahres","ok"))))))</f>
        <v/>
      </c>
      <c r="J594" s="14"/>
    </row>
    <row r="595" customFormat="false" ht="15" hidden="false" customHeight="false" outlineLevel="0" collapsed="false">
      <c r="A595" s="15"/>
      <c r="B595" s="14"/>
      <c r="C595" s="14"/>
      <c r="D595" s="15"/>
      <c r="E595" s="15"/>
      <c r="F595" s="12" t="str">
        <f aca="false">IF($A595="","",IFERROR(INDEX(Team!$B$5:$B$64,MATCH($A595,Team!$A$5:$A$64,0)),"?"))</f>
        <v/>
      </c>
      <c r="G595" s="13" t="str">
        <f aca="false">IF($A595="","",COUNTIF($A$6:$A595,$A595)&amp;". Wunsch")</f>
        <v/>
      </c>
      <c r="H595" s="13" t="str">
        <f aca="false">IF(OR($A595="",$B595="",$C595="",$C595&lt;$B595),"",NETWORKDAYS($B595,$C595,Einstellungen!$N$7:$N$40))</f>
        <v/>
      </c>
      <c r="I595" s="12" t="str">
        <f aca="false">IF($A595="","",IF(OR($B595="",$C595=""),"Von und Bis eintragen",IF($C595&lt;$B595,"Bis liegt vor Von",IF(ISNA(MATCH($A595,Team!$A$5:$A$64,0)),"Name fehlt im Blatt Team",IF(COUNTIFS($A$6:$A$605,$A595,$B$6:$B$605,"&lt;="&amp;$C595,$C$6:$C$605,"&gt;="&amp;$B595)&gt;1,"Überschneidet sich mit eigenem Wunsch",IF(OR($B595&lt;Einstellungen!$B$3,$C595&gt;Einstellungen!$B$4),"Teils außerhalb des Planungsjahres","ok"))))))</f>
        <v/>
      </c>
      <c r="J595" s="14"/>
    </row>
    <row r="596" customFormat="false" ht="15" hidden="false" customHeight="false" outlineLevel="0" collapsed="false">
      <c r="A596" s="15"/>
      <c r="B596" s="14"/>
      <c r="C596" s="14"/>
      <c r="D596" s="15"/>
      <c r="E596" s="15"/>
      <c r="F596" s="12" t="str">
        <f aca="false">IF($A596="","",IFERROR(INDEX(Team!$B$5:$B$64,MATCH($A596,Team!$A$5:$A$64,0)),"?"))</f>
        <v/>
      </c>
      <c r="G596" s="13" t="str">
        <f aca="false">IF($A596="","",COUNTIF($A$6:$A596,$A596)&amp;". Wunsch")</f>
        <v/>
      </c>
      <c r="H596" s="13" t="str">
        <f aca="false">IF(OR($A596="",$B596="",$C596="",$C596&lt;$B596),"",NETWORKDAYS($B596,$C596,Einstellungen!$N$7:$N$40))</f>
        <v/>
      </c>
      <c r="I596" s="12" t="str">
        <f aca="false">IF($A596="","",IF(OR($B596="",$C596=""),"Von und Bis eintragen",IF($C596&lt;$B596,"Bis liegt vor Von",IF(ISNA(MATCH($A596,Team!$A$5:$A$64,0)),"Name fehlt im Blatt Team",IF(COUNTIFS($A$6:$A$605,$A596,$B$6:$B$605,"&lt;="&amp;$C596,$C$6:$C$605,"&gt;="&amp;$B596)&gt;1,"Überschneidet sich mit eigenem Wunsch",IF(OR($B596&lt;Einstellungen!$B$3,$C596&gt;Einstellungen!$B$4),"Teils außerhalb des Planungsjahres","ok"))))))</f>
        <v/>
      </c>
      <c r="J596" s="14"/>
    </row>
    <row r="597" customFormat="false" ht="15" hidden="false" customHeight="false" outlineLevel="0" collapsed="false">
      <c r="A597" s="15"/>
      <c r="B597" s="14"/>
      <c r="C597" s="14"/>
      <c r="D597" s="15"/>
      <c r="E597" s="15"/>
      <c r="F597" s="12" t="str">
        <f aca="false">IF($A597="","",IFERROR(INDEX(Team!$B$5:$B$64,MATCH($A597,Team!$A$5:$A$64,0)),"?"))</f>
        <v/>
      </c>
      <c r="G597" s="13" t="str">
        <f aca="false">IF($A597="","",COUNTIF($A$6:$A597,$A597)&amp;". Wunsch")</f>
        <v/>
      </c>
      <c r="H597" s="13" t="str">
        <f aca="false">IF(OR($A597="",$B597="",$C597="",$C597&lt;$B597),"",NETWORKDAYS($B597,$C597,Einstellungen!$N$7:$N$40))</f>
        <v/>
      </c>
      <c r="I597" s="12" t="str">
        <f aca="false">IF($A597="","",IF(OR($B597="",$C597=""),"Von und Bis eintragen",IF($C597&lt;$B597,"Bis liegt vor Von",IF(ISNA(MATCH($A597,Team!$A$5:$A$64,0)),"Name fehlt im Blatt Team",IF(COUNTIFS($A$6:$A$605,$A597,$B$6:$B$605,"&lt;="&amp;$C597,$C$6:$C$605,"&gt;="&amp;$B597)&gt;1,"Überschneidet sich mit eigenem Wunsch",IF(OR($B597&lt;Einstellungen!$B$3,$C597&gt;Einstellungen!$B$4),"Teils außerhalb des Planungsjahres","ok"))))))</f>
        <v/>
      </c>
      <c r="J597" s="14"/>
    </row>
    <row r="598" customFormat="false" ht="15" hidden="false" customHeight="false" outlineLevel="0" collapsed="false">
      <c r="A598" s="15"/>
      <c r="B598" s="14"/>
      <c r="C598" s="14"/>
      <c r="D598" s="15"/>
      <c r="E598" s="15"/>
      <c r="F598" s="12" t="str">
        <f aca="false">IF($A598="","",IFERROR(INDEX(Team!$B$5:$B$64,MATCH($A598,Team!$A$5:$A$64,0)),"?"))</f>
        <v/>
      </c>
      <c r="G598" s="13" t="str">
        <f aca="false">IF($A598="","",COUNTIF($A$6:$A598,$A598)&amp;". Wunsch")</f>
        <v/>
      </c>
      <c r="H598" s="13" t="str">
        <f aca="false">IF(OR($A598="",$B598="",$C598="",$C598&lt;$B598),"",NETWORKDAYS($B598,$C598,Einstellungen!$N$7:$N$40))</f>
        <v/>
      </c>
      <c r="I598" s="12" t="str">
        <f aca="false">IF($A598="","",IF(OR($B598="",$C598=""),"Von und Bis eintragen",IF($C598&lt;$B598,"Bis liegt vor Von",IF(ISNA(MATCH($A598,Team!$A$5:$A$64,0)),"Name fehlt im Blatt Team",IF(COUNTIFS($A$6:$A$605,$A598,$B$6:$B$605,"&lt;="&amp;$C598,$C$6:$C$605,"&gt;="&amp;$B598)&gt;1,"Überschneidet sich mit eigenem Wunsch",IF(OR($B598&lt;Einstellungen!$B$3,$C598&gt;Einstellungen!$B$4),"Teils außerhalb des Planungsjahres","ok"))))))</f>
        <v/>
      </c>
      <c r="J598" s="14"/>
    </row>
    <row r="599" customFormat="false" ht="15" hidden="false" customHeight="false" outlineLevel="0" collapsed="false">
      <c r="A599" s="15"/>
      <c r="B599" s="14"/>
      <c r="C599" s="14"/>
      <c r="D599" s="15"/>
      <c r="E599" s="15"/>
      <c r="F599" s="12" t="str">
        <f aca="false">IF($A599="","",IFERROR(INDEX(Team!$B$5:$B$64,MATCH($A599,Team!$A$5:$A$64,0)),"?"))</f>
        <v/>
      </c>
      <c r="G599" s="13" t="str">
        <f aca="false">IF($A599="","",COUNTIF($A$6:$A599,$A599)&amp;". Wunsch")</f>
        <v/>
      </c>
      <c r="H599" s="13" t="str">
        <f aca="false">IF(OR($A599="",$B599="",$C599="",$C599&lt;$B599),"",NETWORKDAYS($B599,$C599,Einstellungen!$N$7:$N$40))</f>
        <v/>
      </c>
      <c r="I599" s="12" t="str">
        <f aca="false">IF($A599="","",IF(OR($B599="",$C599=""),"Von und Bis eintragen",IF($C599&lt;$B599,"Bis liegt vor Von",IF(ISNA(MATCH($A599,Team!$A$5:$A$64,0)),"Name fehlt im Blatt Team",IF(COUNTIFS($A$6:$A$605,$A599,$B$6:$B$605,"&lt;="&amp;$C599,$C$6:$C$605,"&gt;="&amp;$B599)&gt;1,"Überschneidet sich mit eigenem Wunsch",IF(OR($B599&lt;Einstellungen!$B$3,$C599&gt;Einstellungen!$B$4),"Teils außerhalb des Planungsjahres","ok"))))))</f>
        <v/>
      </c>
      <c r="J599" s="14"/>
    </row>
    <row r="600" customFormat="false" ht="15" hidden="false" customHeight="false" outlineLevel="0" collapsed="false">
      <c r="A600" s="15"/>
      <c r="B600" s="14"/>
      <c r="C600" s="14"/>
      <c r="D600" s="15"/>
      <c r="E600" s="15"/>
      <c r="F600" s="12" t="str">
        <f aca="false">IF($A600="","",IFERROR(INDEX(Team!$B$5:$B$64,MATCH($A600,Team!$A$5:$A$64,0)),"?"))</f>
        <v/>
      </c>
      <c r="G600" s="13" t="str">
        <f aca="false">IF($A600="","",COUNTIF($A$6:$A600,$A600)&amp;". Wunsch")</f>
        <v/>
      </c>
      <c r="H600" s="13" t="str">
        <f aca="false">IF(OR($A600="",$B600="",$C600="",$C600&lt;$B600),"",NETWORKDAYS($B600,$C600,Einstellungen!$N$7:$N$40))</f>
        <v/>
      </c>
      <c r="I600" s="12" t="str">
        <f aca="false">IF($A600="","",IF(OR($B600="",$C600=""),"Von und Bis eintragen",IF($C600&lt;$B600,"Bis liegt vor Von",IF(ISNA(MATCH($A600,Team!$A$5:$A$64,0)),"Name fehlt im Blatt Team",IF(COUNTIFS($A$6:$A$605,$A600,$B$6:$B$605,"&lt;="&amp;$C600,$C$6:$C$605,"&gt;="&amp;$B600)&gt;1,"Überschneidet sich mit eigenem Wunsch",IF(OR($B600&lt;Einstellungen!$B$3,$C600&gt;Einstellungen!$B$4),"Teils außerhalb des Planungsjahres","ok"))))))</f>
        <v/>
      </c>
      <c r="J600" s="14"/>
    </row>
    <row r="601" customFormat="false" ht="15" hidden="false" customHeight="false" outlineLevel="0" collapsed="false">
      <c r="A601" s="15"/>
      <c r="B601" s="14"/>
      <c r="C601" s="14"/>
      <c r="D601" s="15"/>
      <c r="E601" s="15"/>
      <c r="F601" s="12" t="str">
        <f aca="false">IF($A601="","",IFERROR(INDEX(Team!$B$5:$B$64,MATCH($A601,Team!$A$5:$A$64,0)),"?"))</f>
        <v/>
      </c>
      <c r="G601" s="13" t="str">
        <f aca="false">IF($A601="","",COUNTIF($A$6:$A601,$A601)&amp;". Wunsch")</f>
        <v/>
      </c>
      <c r="H601" s="13" t="str">
        <f aca="false">IF(OR($A601="",$B601="",$C601="",$C601&lt;$B601),"",NETWORKDAYS($B601,$C601,Einstellungen!$N$7:$N$40))</f>
        <v/>
      </c>
      <c r="I601" s="12" t="str">
        <f aca="false">IF($A601="","",IF(OR($B601="",$C601=""),"Von und Bis eintragen",IF($C601&lt;$B601,"Bis liegt vor Von",IF(ISNA(MATCH($A601,Team!$A$5:$A$64,0)),"Name fehlt im Blatt Team",IF(COUNTIFS($A$6:$A$605,$A601,$B$6:$B$605,"&lt;="&amp;$C601,$C$6:$C$605,"&gt;="&amp;$B601)&gt;1,"Überschneidet sich mit eigenem Wunsch",IF(OR($B601&lt;Einstellungen!$B$3,$C601&gt;Einstellungen!$B$4),"Teils außerhalb des Planungsjahres","ok"))))))</f>
        <v/>
      </c>
      <c r="J601" s="14"/>
    </row>
    <row r="602" customFormat="false" ht="15" hidden="false" customHeight="false" outlineLevel="0" collapsed="false">
      <c r="A602" s="15"/>
      <c r="B602" s="14"/>
      <c r="C602" s="14"/>
      <c r="D602" s="15"/>
      <c r="E602" s="15"/>
      <c r="F602" s="12" t="str">
        <f aca="false">IF($A602="","",IFERROR(INDEX(Team!$B$5:$B$64,MATCH($A602,Team!$A$5:$A$64,0)),"?"))</f>
        <v/>
      </c>
      <c r="G602" s="13" t="str">
        <f aca="false">IF($A602="","",COUNTIF($A$6:$A602,$A602)&amp;". Wunsch")</f>
        <v/>
      </c>
      <c r="H602" s="13" t="str">
        <f aca="false">IF(OR($A602="",$B602="",$C602="",$C602&lt;$B602),"",NETWORKDAYS($B602,$C602,Einstellungen!$N$7:$N$40))</f>
        <v/>
      </c>
      <c r="I602" s="12" t="str">
        <f aca="false">IF($A602="","",IF(OR($B602="",$C602=""),"Von und Bis eintragen",IF($C602&lt;$B602,"Bis liegt vor Von",IF(ISNA(MATCH($A602,Team!$A$5:$A$64,0)),"Name fehlt im Blatt Team",IF(COUNTIFS($A$6:$A$605,$A602,$B$6:$B$605,"&lt;="&amp;$C602,$C$6:$C$605,"&gt;="&amp;$B602)&gt;1,"Überschneidet sich mit eigenem Wunsch",IF(OR($B602&lt;Einstellungen!$B$3,$C602&gt;Einstellungen!$B$4),"Teils außerhalb des Planungsjahres","ok"))))))</f>
        <v/>
      </c>
      <c r="J602" s="14"/>
    </row>
    <row r="603" customFormat="false" ht="15" hidden="false" customHeight="false" outlineLevel="0" collapsed="false">
      <c r="A603" s="15"/>
      <c r="B603" s="14"/>
      <c r="C603" s="14"/>
      <c r="D603" s="15"/>
      <c r="E603" s="15"/>
      <c r="F603" s="12" t="str">
        <f aca="false">IF($A603="","",IFERROR(INDEX(Team!$B$5:$B$64,MATCH($A603,Team!$A$5:$A$64,0)),"?"))</f>
        <v/>
      </c>
      <c r="G603" s="13" t="str">
        <f aca="false">IF($A603="","",COUNTIF($A$6:$A603,$A603)&amp;". Wunsch")</f>
        <v/>
      </c>
      <c r="H603" s="13" t="str">
        <f aca="false">IF(OR($A603="",$B603="",$C603="",$C603&lt;$B603),"",NETWORKDAYS($B603,$C603,Einstellungen!$N$7:$N$40))</f>
        <v/>
      </c>
      <c r="I603" s="12" t="str">
        <f aca="false">IF($A603="","",IF(OR($B603="",$C603=""),"Von und Bis eintragen",IF($C603&lt;$B603,"Bis liegt vor Von",IF(ISNA(MATCH($A603,Team!$A$5:$A$64,0)),"Name fehlt im Blatt Team",IF(COUNTIFS($A$6:$A$605,$A603,$B$6:$B$605,"&lt;="&amp;$C603,$C$6:$C$605,"&gt;="&amp;$B603)&gt;1,"Überschneidet sich mit eigenem Wunsch",IF(OR($B603&lt;Einstellungen!$B$3,$C603&gt;Einstellungen!$B$4),"Teils außerhalb des Planungsjahres","ok"))))))</f>
        <v/>
      </c>
      <c r="J603" s="14"/>
    </row>
    <row r="604" customFormat="false" ht="15" hidden="false" customHeight="false" outlineLevel="0" collapsed="false">
      <c r="A604" s="15"/>
      <c r="B604" s="14"/>
      <c r="C604" s="14"/>
      <c r="D604" s="15"/>
      <c r="E604" s="15"/>
      <c r="F604" s="12" t="str">
        <f aca="false">IF($A604="","",IFERROR(INDEX(Team!$B$5:$B$64,MATCH($A604,Team!$A$5:$A$64,0)),"?"))</f>
        <v/>
      </c>
      <c r="G604" s="13" t="str">
        <f aca="false">IF($A604="","",COUNTIF($A$6:$A604,$A604)&amp;". Wunsch")</f>
        <v/>
      </c>
      <c r="H604" s="13" t="str">
        <f aca="false">IF(OR($A604="",$B604="",$C604="",$C604&lt;$B604),"",NETWORKDAYS($B604,$C604,Einstellungen!$N$7:$N$40))</f>
        <v/>
      </c>
      <c r="I604" s="12" t="str">
        <f aca="false">IF($A604="","",IF(OR($B604="",$C604=""),"Von und Bis eintragen",IF($C604&lt;$B604,"Bis liegt vor Von",IF(ISNA(MATCH($A604,Team!$A$5:$A$64,0)),"Name fehlt im Blatt Team",IF(COUNTIFS($A$6:$A$605,$A604,$B$6:$B$605,"&lt;="&amp;$C604,$C$6:$C$605,"&gt;="&amp;$B604)&gt;1,"Überschneidet sich mit eigenem Wunsch",IF(OR($B604&lt;Einstellungen!$B$3,$C604&gt;Einstellungen!$B$4),"Teils außerhalb des Planungsjahres","ok"))))))</f>
        <v/>
      </c>
      <c r="J604" s="14"/>
    </row>
    <row r="605" customFormat="false" ht="15" hidden="false" customHeight="false" outlineLevel="0" collapsed="false">
      <c r="A605" s="15"/>
      <c r="B605" s="14"/>
      <c r="C605" s="14"/>
      <c r="D605" s="15"/>
      <c r="E605" s="15"/>
      <c r="F605" s="12" t="str">
        <f aca="false">IF($A605="","",IFERROR(INDEX(Team!$B$5:$B$64,MATCH($A605,Team!$A$5:$A$64,0)),"?"))</f>
        <v/>
      </c>
      <c r="G605" s="13" t="str">
        <f aca="false">IF($A605="","",COUNTIF($A$6:$A605,$A605)&amp;". Wunsch")</f>
        <v/>
      </c>
      <c r="H605" s="13" t="str">
        <f aca="false">IF(OR($A605="",$B605="",$C605="",$C605&lt;$B605),"",NETWORKDAYS($B605,$C605,Einstellungen!$N$7:$N$40))</f>
        <v/>
      </c>
      <c r="I605" s="12" t="str">
        <f aca="false">IF($A605="","",IF(OR($B605="",$C605=""),"Von und Bis eintragen",IF($C605&lt;$B605,"Bis liegt vor Von",IF(ISNA(MATCH($A605,Team!$A$5:$A$64,0)),"Name fehlt im Blatt Team",IF(COUNTIFS($A$6:$A$605,$A605,$B$6:$B$605,"&lt;="&amp;$C605,$C$6:$C$605,"&gt;="&amp;$B605)&gt;1,"Überschneidet sich mit eigenem Wunsch",IF(OR($B605&lt;Einstellungen!$B$3,$C605&gt;Einstellungen!$B$4),"Teils außerhalb des Planungsjahres","ok"))))))</f>
        <v/>
      </c>
      <c r="J605" s="14"/>
    </row>
  </sheetData>
  <autoFilter ref="A5:J605"/>
  <conditionalFormatting sqref="A6:I605">
    <cfRule type="expression" priority="2" aboveAverage="0" equalAverage="0" bottom="0" percent="0" rank="0" text="" dxfId="12">
      <formula>$J6&lt;&gt;""</formula>
    </cfRule>
  </conditionalFormatting>
  <conditionalFormatting sqref="I6:I605">
    <cfRule type="expression" priority="3" aboveAverage="0" equalAverage="0" bottom="0" percent="0" rank="0" text="" dxfId="13">
      <formula>$I6="ok"</formula>
    </cfRule>
    <cfRule type="expression" priority="4" aboveAverage="0" equalAverage="0" bottom="0" percent="0" rank="0" text="" dxfId="14">
      <formula>AND($I6&lt;&gt;"",$I6&lt;&gt;"ok")</formula>
    </cfRule>
  </conditionalFormatting>
  <conditionalFormatting sqref="F6:F605">
    <cfRule type="expression" priority="5" aboveAverage="0" equalAverage="0" bottom="0" percent="0" rank="0" text="" dxfId="15">
      <formula>AND($F6&lt;&gt;"",IFERROR(MATCH($F6,Einstellungen!$A$7:$A$16,0),0)=1)</formula>
    </cfRule>
    <cfRule type="expression" priority="6" aboveAverage="0" equalAverage="0" bottom="0" percent="0" rank="0" text="" dxfId="16">
      <formula>AND($F6&lt;&gt;"",IFERROR(MATCH($F6,Einstellungen!$A$7:$A$16,0),0)=2)</formula>
    </cfRule>
    <cfRule type="expression" priority="7" aboveAverage="0" equalAverage="0" bottom="0" percent="0" rank="0" text="" dxfId="17">
      <formula>AND($F6&lt;&gt;"",IFERROR(MATCH($F6,Einstellungen!$A$7:$A$16,0),0)=3)</formula>
    </cfRule>
    <cfRule type="expression" priority="8" aboveAverage="0" equalAverage="0" bottom="0" percent="0" rank="0" text="" dxfId="18">
      <formula>AND($F6&lt;&gt;"",IFERROR(MATCH($F6,Einstellungen!$A$7:$A$16,0),0)=4)</formula>
    </cfRule>
    <cfRule type="expression" priority="9" aboveAverage="0" equalAverage="0" bottom="0" percent="0" rank="0" text="" dxfId="19">
      <formula>AND($F6&lt;&gt;"",IFERROR(MATCH($F6,Einstellungen!$A$7:$A$16,0),0)=5)</formula>
    </cfRule>
    <cfRule type="expression" priority="10" aboveAverage="0" equalAverage="0" bottom="0" percent="0" rank="0" text="" dxfId="20">
      <formula>AND($F6&lt;&gt;"",IFERROR(MATCH($F6,Einstellungen!$A$7:$A$16,0),0)=6)</formula>
    </cfRule>
    <cfRule type="expression" priority="11" aboveAverage="0" equalAverage="0" bottom="0" percent="0" rank="0" text="" dxfId="21">
      <formula>AND($F6&lt;&gt;"",IFERROR(MATCH($F6,Einstellungen!$A$7:$A$16,0),0)=7)</formula>
    </cfRule>
    <cfRule type="expression" priority="12" aboveAverage="0" equalAverage="0" bottom="0" percent="0" rank="0" text="" dxfId="22">
      <formula>AND($F6&lt;&gt;"",IFERROR(MATCH($F6,Einstellungen!$A$7:$A$16,0),0)=8)</formula>
    </cfRule>
    <cfRule type="expression" priority="13" aboveAverage="0" equalAverage="0" bottom="0" percent="0" rank="0" text="" dxfId="23">
      <formula>AND($F6&lt;&gt;"",IFERROR(MATCH($F6,Einstellungen!$A$7:$A$16,0),0)=9)</formula>
    </cfRule>
    <cfRule type="expression" priority="14" aboveAverage="0" equalAverage="0" bottom="0" percent="0" rank="0" text="" dxfId="24">
      <formula>AND($F6&lt;&gt;"",IFERROR(MATCH($F6,Einstellungen!$A$7:$A$16,0),0)=10)</formula>
    </cfRule>
  </conditionalFormatting>
  <dataValidations count="4">
    <dataValidation allowBlank="true" error="Bitte den Namen aus der Liste wählen. Neue Personen zuerst im Blatt »Team« anlegen." errorStyle="stop" operator="between" showDropDown="false" showErrorMessage="true" showInputMessage="false" sqref="A6:A605" type="list">
      <formula1>Team!$A$5:$A$64</formula1>
      <formula2>0</formula2>
    </dataValidation>
    <dataValidation allowBlank="true" errorStyle="stop" operator="between" showDropDown="false" showErrorMessage="false" showInputMessage="false" sqref="D6:D605" type="list">
      <formula1>"ja,etwas,nein"</formula1>
      <formula2>0</formula2>
    </dataValidation>
    <dataValidation allowBlank="false" error="Bitte ein Datum eintragen, z. B. 12.07.2027." errorStyle="stop" operator="between" showDropDown="false" showErrorMessage="true" showInputMessage="false" sqref="B6:B605 J6:J605" type="date">
      <formula1>DATE(2020,1,1)</formula1>
      <formula2>DATE(2100,12,31)</formula2>
    </dataValidation>
    <dataValidation allowBlank="false" error="»Bis« muss ein Datum sein und darf nicht vor »Von« liegen." errorStyle="stop" operator="between" showDropDown="false" showErrorMessage="true" showInputMessage="false" sqref="C6:C605" type="custom">
      <formula1>AND(ISNUMBER(C6),C6&gt;=B6)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</cols>
  <sheetData>
    <row r="1" customFormat="false" ht="25.5" hidden="false" customHeight="true" outlineLevel="0" collapsed="false">
      <c r="A1" s="6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3.75" hidden="false" customHeight="true" outlineLevel="0" collapsed="false">
      <c r="A4" s="9" t="s">
        <v>35</v>
      </c>
      <c r="B4" s="9" t="s">
        <v>40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</row>
    <row r="5" customFormat="false" ht="15" hidden="false" customHeight="false" outlineLevel="0" collapsed="false">
      <c r="A5" s="10" t="s">
        <v>45</v>
      </c>
      <c r="B5" s="10" t="s">
        <v>70</v>
      </c>
      <c r="C5" s="10" t="s">
        <v>61</v>
      </c>
      <c r="D5" s="10" t="s">
        <v>62</v>
      </c>
      <c r="E5" s="10"/>
      <c r="F5" s="10"/>
      <c r="G5" s="10" t="n">
        <v>30</v>
      </c>
      <c r="H5" s="10"/>
      <c r="I5" s="16" t="n">
        <f aca="false">IF($A5="","",COUNTIF(Wünsche!$A$6:$A$605,$A5))</f>
        <v>3</v>
      </c>
      <c r="J5" s="16" t="n">
        <f aca="false">IF($A5="","",SUMIF(Wünsche!$A$6:$A$605,$A5,Wünsche!$H$6:$H$605))</f>
        <v>25</v>
      </c>
      <c r="K5" s="13" t="n">
        <f aca="false">IF(OR($A5="",G5=""),"",G5-J5)</f>
        <v>5</v>
      </c>
    </row>
    <row r="6" customFormat="false" ht="15" hidden="false" customHeight="false" outlineLevel="0" collapsed="false">
      <c r="A6" s="10" t="s">
        <v>50</v>
      </c>
      <c r="B6" s="10" t="s">
        <v>70</v>
      </c>
      <c r="C6" s="10" t="s">
        <v>63</v>
      </c>
      <c r="D6" s="10" t="s">
        <v>71</v>
      </c>
      <c r="E6" s="10"/>
      <c r="F6" s="10"/>
      <c r="G6" s="10" t="n">
        <v>30</v>
      </c>
      <c r="H6" s="10"/>
      <c r="I6" s="16" t="n">
        <f aca="false">IF($A6="","",COUNTIF(Wünsche!$A$6:$A$605,$A6))</f>
        <v>2</v>
      </c>
      <c r="J6" s="16" t="n">
        <f aca="false">IF($A6="","",SUMIF(Wünsche!$A$6:$A$605,$A6,Wünsche!$H$6:$H$605))</f>
        <v>16</v>
      </c>
      <c r="K6" s="13" t="n">
        <f aca="false">IF(OR($A6="",G6=""),"",G6-J6)</f>
        <v>14</v>
      </c>
    </row>
    <row r="7" customFormat="false" ht="15" hidden="false" customHeight="false" outlineLevel="0" collapsed="false">
      <c r="A7" s="10" t="s">
        <v>52</v>
      </c>
      <c r="B7" s="10" t="s">
        <v>70</v>
      </c>
      <c r="C7" s="10" t="s">
        <v>72</v>
      </c>
      <c r="D7" s="10" t="s">
        <v>73</v>
      </c>
      <c r="E7" s="10" t="s">
        <v>61</v>
      </c>
      <c r="F7" s="10"/>
      <c r="G7" s="10" t="n">
        <v>24</v>
      </c>
      <c r="H7" s="10"/>
      <c r="I7" s="16" t="n">
        <f aca="false">IF($A7="","",COUNTIF(Wünsche!$A$6:$A$605,$A7))</f>
        <v>1</v>
      </c>
      <c r="J7" s="16" t="n">
        <f aca="false">IF($A7="","",SUMIF(Wünsche!$A$6:$A$605,$A7,Wünsche!$H$6:$H$605))</f>
        <v>15</v>
      </c>
      <c r="K7" s="13" t="n">
        <f aca="false">IF(OR($A7="",G7=""),"",G7-J7)</f>
        <v>9</v>
      </c>
    </row>
    <row r="8" customFormat="false" ht="15" hidden="false" customHeight="false" outlineLevel="0" collapsed="false">
      <c r="A8" s="10" t="s">
        <v>53</v>
      </c>
      <c r="B8" s="10" t="s">
        <v>74</v>
      </c>
      <c r="C8" s="10" t="s">
        <v>61</v>
      </c>
      <c r="D8" s="10" t="s">
        <v>63</v>
      </c>
      <c r="E8" s="10"/>
      <c r="F8" s="10"/>
      <c r="G8" s="10" t="n">
        <v>30</v>
      </c>
      <c r="H8" s="10"/>
      <c r="I8" s="16" t="n">
        <f aca="false">IF($A8="","",COUNTIF(Wünsche!$A$6:$A$605,$A8))</f>
        <v>2</v>
      </c>
      <c r="J8" s="16" t="n">
        <f aca="false">IF($A8="","",SUMIF(Wünsche!$A$6:$A$605,$A8,Wünsche!$H$6:$H$605))</f>
        <v>19</v>
      </c>
      <c r="K8" s="13" t="n">
        <f aca="false">IF(OR($A8="",G8=""),"",G8-J8)</f>
        <v>11</v>
      </c>
    </row>
    <row r="9" customFormat="false" ht="15" hidden="false" customHeight="false" outlineLevel="0" collapsed="false">
      <c r="A9" s="10" t="s">
        <v>55</v>
      </c>
      <c r="B9" s="10" t="s">
        <v>74</v>
      </c>
      <c r="C9" s="10" t="s">
        <v>62</v>
      </c>
      <c r="D9" s="10" t="s">
        <v>72</v>
      </c>
      <c r="E9" s="10"/>
      <c r="F9" s="10"/>
      <c r="G9" s="10" t="n">
        <v>30</v>
      </c>
      <c r="H9" s="10"/>
      <c r="I9" s="16" t="n">
        <f aca="false">IF($A9="","",COUNTIF(Wünsche!$A$6:$A$605,$A9))</f>
        <v>1</v>
      </c>
      <c r="J9" s="16" t="n">
        <f aca="false">IF($A9="","",SUMIF(Wünsche!$A$6:$A$605,$A9,Wünsche!$H$6:$H$605))</f>
        <v>10</v>
      </c>
      <c r="K9" s="13" t="n">
        <f aca="false">IF(OR($A9="",G9=""),"",G9-J9)</f>
        <v>20</v>
      </c>
    </row>
    <row r="10" customFormat="false" ht="15" hidden="false" customHeight="false" outlineLevel="0" collapsed="false">
      <c r="A10" s="10" t="s">
        <v>56</v>
      </c>
      <c r="B10" s="10" t="s">
        <v>75</v>
      </c>
      <c r="C10" s="10" t="s">
        <v>61</v>
      </c>
      <c r="D10" s="10" t="s">
        <v>73</v>
      </c>
      <c r="E10" s="10"/>
      <c r="F10" s="10"/>
      <c r="G10" s="10" t="n">
        <v>30</v>
      </c>
      <c r="H10" s="10"/>
      <c r="I10" s="16" t="n">
        <f aca="false">IF($A10="","",COUNTIF(Wünsche!$A$6:$A$605,$A10))</f>
        <v>1</v>
      </c>
      <c r="J10" s="16" t="n">
        <f aca="false">IF($A10="","",SUMIF(Wünsche!$A$6:$A$605,$A10,Wünsche!$H$6:$H$605))</f>
        <v>10</v>
      </c>
      <c r="K10" s="13" t="n">
        <f aca="false">IF(OR($A10="",G10=""),"",G10-J10)</f>
        <v>20</v>
      </c>
    </row>
    <row r="11" customFormat="false" ht="15" hidden="false" customHeight="false" outlineLevel="0" collapsed="false">
      <c r="A11" s="10" t="s">
        <v>58</v>
      </c>
      <c r="B11" s="10" t="s">
        <v>75</v>
      </c>
      <c r="C11" s="10" t="s">
        <v>62</v>
      </c>
      <c r="D11" s="10" t="s">
        <v>63</v>
      </c>
      <c r="E11" s="10" t="s">
        <v>72</v>
      </c>
      <c r="F11" s="10"/>
      <c r="G11" s="10" t="n">
        <v>28</v>
      </c>
      <c r="H11" s="10"/>
      <c r="I11" s="16" t="n">
        <f aca="false">IF($A11="","",COUNTIF(Wünsche!$A$6:$A$605,$A11))</f>
        <v>1</v>
      </c>
      <c r="J11" s="16" t="n">
        <f aca="false">IF($A11="","",SUMIF(Wünsche!$A$6:$A$605,$A11,Wünsche!$H$6:$H$605))</f>
        <v>15</v>
      </c>
      <c r="K11" s="13" t="n">
        <f aca="false">IF(OR($A11="",G11=""),"",G11-J11)</f>
        <v>13</v>
      </c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  <c r="G12" s="15"/>
      <c r="H12" s="15"/>
      <c r="I12" s="16" t="str">
        <f aca="false">IF($A12="","",COUNTIF(Wünsche!$A$6:$A$605,$A12))</f>
        <v/>
      </c>
      <c r="J12" s="16" t="str">
        <f aca="false">IF($A12="","",SUMIF(Wünsche!$A$6:$A$605,$A12,Wünsche!$H$6:$H$605))</f>
        <v/>
      </c>
      <c r="K12" s="13" t="str">
        <f aca="false">IF(OR($A12="",G12=""),"",G12-J12)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6" t="str">
        <f aca="false">IF($A13="","",COUNTIF(Wünsche!$A$6:$A$605,$A13))</f>
        <v/>
      </c>
      <c r="J13" s="16" t="str">
        <f aca="false">IF($A13="","",SUMIF(Wünsche!$A$6:$A$605,$A13,Wünsche!$H$6:$H$605))</f>
        <v/>
      </c>
      <c r="K13" s="13" t="str">
        <f aca="false">IF(OR($A13="",G13=""),"",G13-J13)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  <c r="G14" s="15"/>
      <c r="H14" s="15"/>
      <c r="I14" s="16" t="str">
        <f aca="false">IF($A14="","",COUNTIF(Wünsche!$A$6:$A$605,$A14))</f>
        <v/>
      </c>
      <c r="J14" s="16" t="str">
        <f aca="false">IF($A14="","",SUMIF(Wünsche!$A$6:$A$605,$A14,Wünsche!$H$6:$H$605))</f>
        <v/>
      </c>
      <c r="K14" s="13" t="str">
        <f aca="false">IF(OR($A14="",G14=""),"",G14-J14)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6" t="str">
        <f aca="false">IF($A15="","",COUNTIF(Wünsche!$A$6:$A$605,$A15))</f>
        <v/>
      </c>
      <c r="J15" s="16" t="str">
        <f aca="false">IF($A15="","",SUMIF(Wünsche!$A$6:$A$605,$A15,Wünsche!$H$6:$H$605))</f>
        <v/>
      </c>
      <c r="K15" s="13" t="str">
        <f aca="false">IF(OR($A15="",G15=""),"",G15-J15)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  <c r="G16" s="15"/>
      <c r="H16" s="15"/>
      <c r="I16" s="16" t="str">
        <f aca="false">IF($A16="","",COUNTIF(Wünsche!$A$6:$A$605,$A16))</f>
        <v/>
      </c>
      <c r="J16" s="16" t="str">
        <f aca="false">IF($A16="","",SUMIF(Wünsche!$A$6:$A$605,$A16,Wünsche!$H$6:$H$605))</f>
        <v/>
      </c>
      <c r="K16" s="13" t="str">
        <f aca="false">IF(OR($A16="",G16=""),"",G16-J16)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6" t="str">
        <f aca="false">IF($A17="","",COUNTIF(Wünsche!$A$6:$A$605,$A17))</f>
        <v/>
      </c>
      <c r="J17" s="16" t="str">
        <f aca="false">IF($A17="","",SUMIF(Wünsche!$A$6:$A$605,$A17,Wünsche!$H$6:$H$605))</f>
        <v/>
      </c>
      <c r="K17" s="13" t="str">
        <f aca="false">IF(OR($A17="",G17=""),"",G17-J17)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6" t="str">
        <f aca="false">IF($A18="","",COUNTIF(Wünsche!$A$6:$A$605,$A18))</f>
        <v/>
      </c>
      <c r="J18" s="16" t="str">
        <f aca="false">IF($A18="","",SUMIF(Wünsche!$A$6:$A$605,$A18,Wünsche!$H$6:$H$605))</f>
        <v/>
      </c>
      <c r="K18" s="13" t="str">
        <f aca="false">IF(OR($A18="",G18=""),"",G18-J18)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6" t="str">
        <f aca="false">IF($A19="","",COUNTIF(Wünsche!$A$6:$A$605,$A19))</f>
        <v/>
      </c>
      <c r="J19" s="16" t="str">
        <f aca="false">IF($A19="","",SUMIF(Wünsche!$A$6:$A$605,$A19,Wünsche!$H$6:$H$605))</f>
        <v/>
      </c>
      <c r="K19" s="13" t="str">
        <f aca="false">IF(OR($A19="",G19=""),"",G19-J19)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  <c r="I20" s="16" t="str">
        <f aca="false">IF($A20="","",COUNTIF(Wünsche!$A$6:$A$605,$A20))</f>
        <v/>
      </c>
      <c r="J20" s="16" t="str">
        <f aca="false">IF($A20="","",SUMIF(Wünsche!$A$6:$A$605,$A20,Wünsche!$H$6:$H$605))</f>
        <v/>
      </c>
      <c r="K20" s="13" t="str">
        <f aca="false">IF(OR($A20="",G20=""),"",G20-J20)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6" t="str">
        <f aca="false">IF($A21="","",COUNTIF(Wünsche!$A$6:$A$605,$A21))</f>
        <v/>
      </c>
      <c r="J21" s="16" t="str">
        <f aca="false">IF($A21="","",SUMIF(Wünsche!$A$6:$A$605,$A21,Wünsche!$H$6:$H$605))</f>
        <v/>
      </c>
      <c r="K21" s="13" t="str">
        <f aca="false">IF(OR($A21="",G21=""),"",G21-J21)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  <c r="G22" s="15"/>
      <c r="H22" s="15"/>
      <c r="I22" s="16" t="str">
        <f aca="false">IF($A22="","",COUNTIF(Wünsche!$A$6:$A$605,$A22))</f>
        <v/>
      </c>
      <c r="J22" s="16" t="str">
        <f aca="false">IF($A22="","",SUMIF(Wünsche!$A$6:$A$605,$A22,Wünsche!$H$6:$H$605))</f>
        <v/>
      </c>
      <c r="K22" s="13" t="str">
        <f aca="false">IF(OR($A22="",G22=""),"",G22-J22)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6" t="str">
        <f aca="false">IF($A23="","",COUNTIF(Wünsche!$A$6:$A$605,$A23))</f>
        <v/>
      </c>
      <c r="J23" s="16" t="str">
        <f aca="false">IF($A23="","",SUMIF(Wünsche!$A$6:$A$605,$A23,Wünsche!$H$6:$H$605))</f>
        <v/>
      </c>
      <c r="K23" s="13" t="str">
        <f aca="false">IF(OR($A23="",G23=""),"",G23-J23)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6" t="str">
        <f aca="false">IF($A24="","",COUNTIF(Wünsche!$A$6:$A$605,$A24))</f>
        <v/>
      </c>
      <c r="J24" s="16" t="str">
        <f aca="false">IF($A24="","",SUMIF(Wünsche!$A$6:$A$605,$A24,Wünsche!$H$6:$H$605))</f>
        <v/>
      </c>
      <c r="K24" s="13" t="str">
        <f aca="false">IF(OR($A24="",G24=""),"",G24-J24)</f>
        <v/>
      </c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6" t="str">
        <f aca="false">IF($A25="","",COUNTIF(Wünsche!$A$6:$A$605,$A25))</f>
        <v/>
      </c>
      <c r="J25" s="16" t="str">
        <f aca="false">IF($A25="","",SUMIF(Wünsche!$A$6:$A$605,$A25,Wünsche!$H$6:$H$605))</f>
        <v/>
      </c>
      <c r="K25" s="13" t="str">
        <f aca="false">IF(OR($A25="",G25=""),"",G25-J25)</f>
        <v/>
      </c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6" t="str">
        <f aca="false">IF($A26="","",COUNTIF(Wünsche!$A$6:$A$605,$A26))</f>
        <v/>
      </c>
      <c r="J26" s="16" t="str">
        <f aca="false">IF($A26="","",SUMIF(Wünsche!$A$6:$A$605,$A26,Wünsche!$H$6:$H$605))</f>
        <v/>
      </c>
      <c r="K26" s="13" t="str">
        <f aca="false">IF(OR($A26="",G26=""),"",G26-J26)</f>
        <v/>
      </c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6" t="str">
        <f aca="false">IF($A27="","",COUNTIF(Wünsche!$A$6:$A$605,$A27))</f>
        <v/>
      </c>
      <c r="J27" s="16" t="str">
        <f aca="false">IF($A27="","",SUMIF(Wünsche!$A$6:$A$605,$A27,Wünsche!$H$6:$H$605))</f>
        <v/>
      </c>
      <c r="K27" s="13" t="str">
        <f aca="false">IF(OR($A27="",G27=""),"",G27-J27)</f>
        <v/>
      </c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6" t="str">
        <f aca="false">IF($A28="","",COUNTIF(Wünsche!$A$6:$A$605,$A28))</f>
        <v/>
      </c>
      <c r="J28" s="16" t="str">
        <f aca="false">IF($A28="","",SUMIF(Wünsche!$A$6:$A$605,$A28,Wünsche!$H$6:$H$605))</f>
        <v/>
      </c>
      <c r="K28" s="13" t="str">
        <f aca="false">IF(OR($A28="",G28=""),"",G28-J28)</f>
        <v/>
      </c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6" t="str">
        <f aca="false">IF($A29="","",COUNTIF(Wünsche!$A$6:$A$605,$A29))</f>
        <v/>
      </c>
      <c r="J29" s="16" t="str">
        <f aca="false">IF($A29="","",SUMIF(Wünsche!$A$6:$A$605,$A29,Wünsche!$H$6:$H$605))</f>
        <v/>
      </c>
      <c r="K29" s="13" t="str">
        <f aca="false">IF(OR($A29="",G29=""),"",G29-J29)</f>
        <v/>
      </c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6" t="str">
        <f aca="false">IF($A30="","",COUNTIF(Wünsche!$A$6:$A$605,$A30))</f>
        <v/>
      </c>
      <c r="J30" s="16" t="str">
        <f aca="false">IF($A30="","",SUMIF(Wünsche!$A$6:$A$605,$A30,Wünsche!$H$6:$H$605))</f>
        <v/>
      </c>
      <c r="K30" s="13" t="str">
        <f aca="false">IF(OR($A30="",G30=""),"",G30-J30)</f>
        <v/>
      </c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6" t="str">
        <f aca="false">IF($A31="","",COUNTIF(Wünsche!$A$6:$A$605,$A31))</f>
        <v/>
      </c>
      <c r="J31" s="16" t="str">
        <f aca="false">IF($A31="","",SUMIF(Wünsche!$A$6:$A$605,$A31,Wünsche!$H$6:$H$605))</f>
        <v/>
      </c>
      <c r="K31" s="13" t="str">
        <f aca="false">IF(OR($A31="",G31=""),"",G31-J31)</f>
        <v/>
      </c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6" t="str">
        <f aca="false">IF($A32="","",COUNTIF(Wünsche!$A$6:$A$605,$A32))</f>
        <v/>
      </c>
      <c r="J32" s="16" t="str">
        <f aca="false">IF($A32="","",SUMIF(Wünsche!$A$6:$A$605,$A32,Wünsche!$H$6:$H$605))</f>
        <v/>
      </c>
      <c r="K32" s="13" t="str">
        <f aca="false">IF(OR($A32="",G32=""),"",G32-J32)</f>
        <v/>
      </c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6" t="str">
        <f aca="false">IF($A33="","",COUNTIF(Wünsche!$A$6:$A$605,$A33))</f>
        <v/>
      </c>
      <c r="J33" s="16" t="str">
        <f aca="false">IF($A33="","",SUMIF(Wünsche!$A$6:$A$605,$A33,Wünsche!$H$6:$H$605))</f>
        <v/>
      </c>
      <c r="K33" s="13" t="str">
        <f aca="false">IF(OR($A33="",G33=""),"",G33-J33)</f>
        <v/>
      </c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6" t="str">
        <f aca="false">IF($A34="","",COUNTIF(Wünsche!$A$6:$A$605,$A34))</f>
        <v/>
      </c>
      <c r="J34" s="16" t="str">
        <f aca="false">IF($A34="","",SUMIF(Wünsche!$A$6:$A$605,$A34,Wünsche!$H$6:$H$605))</f>
        <v/>
      </c>
      <c r="K34" s="13" t="str">
        <f aca="false">IF(OR($A34="",G34=""),"",G34-J34)</f>
        <v/>
      </c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6" t="str">
        <f aca="false">IF($A35="","",COUNTIF(Wünsche!$A$6:$A$605,$A35))</f>
        <v/>
      </c>
      <c r="J35" s="16" t="str">
        <f aca="false">IF($A35="","",SUMIF(Wünsche!$A$6:$A$605,$A35,Wünsche!$H$6:$H$605))</f>
        <v/>
      </c>
      <c r="K35" s="13" t="str">
        <f aca="false">IF(OR($A35="",G35=""),"",G35-J35)</f>
        <v/>
      </c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6" t="str">
        <f aca="false">IF($A36="","",COUNTIF(Wünsche!$A$6:$A$605,$A36))</f>
        <v/>
      </c>
      <c r="J36" s="16" t="str">
        <f aca="false">IF($A36="","",SUMIF(Wünsche!$A$6:$A$605,$A36,Wünsche!$H$6:$H$605))</f>
        <v/>
      </c>
      <c r="K36" s="13" t="str">
        <f aca="false">IF(OR($A36="",G36=""),"",G36-J36)</f>
        <v/>
      </c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6" t="str">
        <f aca="false">IF($A37="","",COUNTIF(Wünsche!$A$6:$A$605,$A37))</f>
        <v/>
      </c>
      <c r="J37" s="16" t="str">
        <f aca="false">IF($A37="","",SUMIF(Wünsche!$A$6:$A$605,$A37,Wünsche!$H$6:$H$605))</f>
        <v/>
      </c>
      <c r="K37" s="13" t="str">
        <f aca="false">IF(OR($A37="",G37=""),"",G37-J37)</f>
        <v/>
      </c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6" t="str">
        <f aca="false">IF($A38="","",COUNTIF(Wünsche!$A$6:$A$605,$A38))</f>
        <v/>
      </c>
      <c r="J38" s="16" t="str">
        <f aca="false">IF($A38="","",SUMIF(Wünsche!$A$6:$A$605,$A38,Wünsche!$H$6:$H$605))</f>
        <v/>
      </c>
      <c r="K38" s="13" t="str">
        <f aca="false">IF(OR($A38="",G38=""),"",G38-J38)</f>
        <v/>
      </c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6" t="str">
        <f aca="false">IF($A39="","",COUNTIF(Wünsche!$A$6:$A$605,$A39))</f>
        <v/>
      </c>
      <c r="J39" s="16" t="str">
        <f aca="false">IF($A39="","",SUMIF(Wünsche!$A$6:$A$605,$A39,Wünsche!$H$6:$H$605))</f>
        <v/>
      </c>
      <c r="K39" s="13" t="str">
        <f aca="false">IF(OR($A39="",G39=""),"",G39-J39)</f>
        <v/>
      </c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6" t="str">
        <f aca="false">IF($A40="","",COUNTIF(Wünsche!$A$6:$A$605,$A40))</f>
        <v/>
      </c>
      <c r="J40" s="16" t="str">
        <f aca="false">IF($A40="","",SUMIF(Wünsche!$A$6:$A$605,$A40,Wünsche!$H$6:$H$605))</f>
        <v/>
      </c>
      <c r="K40" s="13" t="str">
        <f aca="false">IF(OR($A40="",G40=""),"",G40-J40)</f>
        <v/>
      </c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6" t="str">
        <f aca="false">IF($A41="","",COUNTIF(Wünsche!$A$6:$A$605,$A41))</f>
        <v/>
      </c>
      <c r="J41" s="16" t="str">
        <f aca="false">IF($A41="","",SUMIF(Wünsche!$A$6:$A$605,$A41,Wünsche!$H$6:$H$605))</f>
        <v/>
      </c>
      <c r="K41" s="13" t="str">
        <f aca="false">IF(OR($A41="",G41=""),"",G41-J41)</f>
        <v/>
      </c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6" t="str">
        <f aca="false">IF($A42="","",COUNTIF(Wünsche!$A$6:$A$605,$A42))</f>
        <v/>
      </c>
      <c r="J42" s="16" t="str">
        <f aca="false">IF($A42="","",SUMIF(Wünsche!$A$6:$A$605,$A42,Wünsche!$H$6:$H$605))</f>
        <v/>
      </c>
      <c r="K42" s="13" t="str">
        <f aca="false">IF(OR($A42="",G42=""),"",G42-J42)</f>
        <v/>
      </c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6" t="str">
        <f aca="false">IF($A43="","",COUNTIF(Wünsche!$A$6:$A$605,$A43))</f>
        <v/>
      </c>
      <c r="J43" s="16" t="str">
        <f aca="false">IF($A43="","",SUMIF(Wünsche!$A$6:$A$605,$A43,Wünsche!$H$6:$H$605))</f>
        <v/>
      </c>
      <c r="K43" s="13" t="str">
        <f aca="false">IF(OR($A43="",G43=""),"",G43-J43)</f>
        <v/>
      </c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6" t="str">
        <f aca="false">IF($A44="","",COUNTIF(Wünsche!$A$6:$A$605,$A44))</f>
        <v/>
      </c>
      <c r="J44" s="16" t="str">
        <f aca="false">IF($A44="","",SUMIF(Wünsche!$A$6:$A$605,$A44,Wünsche!$H$6:$H$605))</f>
        <v/>
      </c>
      <c r="K44" s="13" t="str">
        <f aca="false">IF(OR($A44="",G44=""),"",G44-J44)</f>
        <v/>
      </c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6" t="str">
        <f aca="false">IF($A45="","",COUNTIF(Wünsche!$A$6:$A$605,$A45))</f>
        <v/>
      </c>
      <c r="J45" s="16" t="str">
        <f aca="false">IF($A45="","",SUMIF(Wünsche!$A$6:$A$605,$A45,Wünsche!$H$6:$H$605))</f>
        <v/>
      </c>
      <c r="K45" s="13" t="str">
        <f aca="false">IF(OR($A45="",G45=""),"",G45-J45)</f>
        <v/>
      </c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6" t="str">
        <f aca="false">IF($A46="","",COUNTIF(Wünsche!$A$6:$A$605,$A46))</f>
        <v/>
      </c>
      <c r="J46" s="16" t="str">
        <f aca="false">IF($A46="","",SUMIF(Wünsche!$A$6:$A$605,$A46,Wünsche!$H$6:$H$605))</f>
        <v/>
      </c>
      <c r="K46" s="13" t="str">
        <f aca="false">IF(OR($A46="",G46=""),"",G46-J46)</f>
        <v/>
      </c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6" t="str">
        <f aca="false">IF($A47="","",COUNTIF(Wünsche!$A$6:$A$605,$A47))</f>
        <v/>
      </c>
      <c r="J47" s="16" t="str">
        <f aca="false">IF($A47="","",SUMIF(Wünsche!$A$6:$A$605,$A47,Wünsche!$H$6:$H$605))</f>
        <v/>
      </c>
      <c r="K47" s="13" t="str">
        <f aca="false">IF(OR($A47="",G47=""),"",G47-J47)</f>
        <v/>
      </c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6" t="str">
        <f aca="false">IF($A48="","",COUNTIF(Wünsche!$A$6:$A$605,$A48))</f>
        <v/>
      </c>
      <c r="J48" s="16" t="str">
        <f aca="false">IF($A48="","",SUMIF(Wünsche!$A$6:$A$605,$A48,Wünsche!$H$6:$H$605))</f>
        <v/>
      </c>
      <c r="K48" s="13" t="str">
        <f aca="false">IF(OR($A48="",G48=""),"",G48-J48)</f>
        <v/>
      </c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6" t="str">
        <f aca="false">IF($A49="","",COUNTIF(Wünsche!$A$6:$A$605,$A49))</f>
        <v/>
      </c>
      <c r="J49" s="16" t="str">
        <f aca="false">IF($A49="","",SUMIF(Wünsche!$A$6:$A$605,$A49,Wünsche!$H$6:$H$605))</f>
        <v/>
      </c>
      <c r="K49" s="13" t="str">
        <f aca="false">IF(OR($A49="",G49=""),"",G49-J49)</f>
        <v/>
      </c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6" t="str">
        <f aca="false">IF($A50="","",COUNTIF(Wünsche!$A$6:$A$605,$A50))</f>
        <v/>
      </c>
      <c r="J50" s="16" t="str">
        <f aca="false">IF($A50="","",SUMIF(Wünsche!$A$6:$A$605,$A50,Wünsche!$H$6:$H$605))</f>
        <v/>
      </c>
      <c r="K50" s="13" t="str">
        <f aca="false">IF(OR($A50="",G50=""),"",G50-J50)</f>
        <v/>
      </c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6" t="str">
        <f aca="false">IF($A51="","",COUNTIF(Wünsche!$A$6:$A$605,$A51))</f>
        <v/>
      </c>
      <c r="J51" s="16" t="str">
        <f aca="false">IF($A51="","",SUMIF(Wünsche!$A$6:$A$605,$A51,Wünsche!$H$6:$H$605))</f>
        <v/>
      </c>
      <c r="K51" s="13" t="str">
        <f aca="false">IF(OR($A51="",G51=""),"",G51-J51)</f>
        <v/>
      </c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6" t="str">
        <f aca="false">IF($A52="","",COUNTIF(Wünsche!$A$6:$A$605,$A52))</f>
        <v/>
      </c>
      <c r="J52" s="16" t="str">
        <f aca="false">IF($A52="","",SUMIF(Wünsche!$A$6:$A$605,$A52,Wünsche!$H$6:$H$605))</f>
        <v/>
      </c>
      <c r="K52" s="13" t="str">
        <f aca="false">IF(OR($A52="",G52=""),"",G52-J52)</f>
        <v/>
      </c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6" t="str">
        <f aca="false">IF($A53="","",COUNTIF(Wünsche!$A$6:$A$605,$A53))</f>
        <v/>
      </c>
      <c r="J53" s="16" t="str">
        <f aca="false">IF($A53="","",SUMIF(Wünsche!$A$6:$A$605,$A53,Wünsche!$H$6:$H$605))</f>
        <v/>
      </c>
      <c r="K53" s="13" t="str">
        <f aca="false">IF(OR($A53="",G53=""),"",G53-J53)</f>
        <v/>
      </c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6" t="str">
        <f aca="false">IF($A54="","",COUNTIF(Wünsche!$A$6:$A$605,$A54))</f>
        <v/>
      </c>
      <c r="J54" s="16" t="str">
        <f aca="false">IF($A54="","",SUMIF(Wünsche!$A$6:$A$605,$A54,Wünsche!$H$6:$H$605))</f>
        <v/>
      </c>
      <c r="K54" s="13" t="str">
        <f aca="false">IF(OR($A54="",G54=""),"",G54-J54)</f>
        <v/>
      </c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6" t="str">
        <f aca="false">IF($A55="","",COUNTIF(Wünsche!$A$6:$A$605,$A55))</f>
        <v/>
      </c>
      <c r="J55" s="16" t="str">
        <f aca="false">IF($A55="","",SUMIF(Wünsche!$A$6:$A$605,$A55,Wünsche!$H$6:$H$605))</f>
        <v/>
      </c>
      <c r="K55" s="13" t="str">
        <f aca="false">IF(OR($A55="",G55=""),"",G55-J55)</f>
        <v/>
      </c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6" t="str">
        <f aca="false">IF($A56="","",COUNTIF(Wünsche!$A$6:$A$605,$A56))</f>
        <v/>
      </c>
      <c r="J56" s="16" t="str">
        <f aca="false">IF($A56="","",SUMIF(Wünsche!$A$6:$A$605,$A56,Wünsche!$H$6:$H$605))</f>
        <v/>
      </c>
      <c r="K56" s="13" t="str">
        <f aca="false">IF(OR($A56="",G56=""),"",G56-J56)</f>
        <v/>
      </c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6" t="str">
        <f aca="false">IF($A57="","",COUNTIF(Wünsche!$A$6:$A$605,$A57))</f>
        <v/>
      </c>
      <c r="J57" s="16" t="str">
        <f aca="false">IF($A57="","",SUMIF(Wünsche!$A$6:$A$605,$A57,Wünsche!$H$6:$H$605))</f>
        <v/>
      </c>
      <c r="K57" s="13" t="str">
        <f aca="false">IF(OR($A57="",G57=""),"",G57-J57)</f>
        <v/>
      </c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6" t="str">
        <f aca="false">IF($A58="","",COUNTIF(Wünsche!$A$6:$A$605,$A58))</f>
        <v/>
      </c>
      <c r="J58" s="16" t="str">
        <f aca="false">IF($A58="","",SUMIF(Wünsche!$A$6:$A$605,$A58,Wünsche!$H$6:$H$605))</f>
        <v/>
      </c>
      <c r="K58" s="13" t="str">
        <f aca="false">IF(OR($A58="",G58=""),"",G58-J58)</f>
        <v/>
      </c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6" t="str">
        <f aca="false">IF($A59="","",COUNTIF(Wünsche!$A$6:$A$605,$A59))</f>
        <v/>
      </c>
      <c r="J59" s="16" t="str">
        <f aca="false">IF($A59="","",SUMIF(Wünsche!$A$6:$A$605,$A59,Wünsche!$H$6:$H$605))</f>
        <v/>
      </c>
      <c r="K59" s="13" t="str">
        <f aca="false">IF(OR($A59="",G59=""),"",G59-J59)</f>
        <v/>
      </c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6" t="str">
        <f aca="false">IF($A60="","",COUNTIF(Wünsche!$A$6:$A$605,$A60))</f>
        <v/>
      </c>
      <c r="J60" s="16" t="str">
        <f aca="false">IF($A60="","",SUMIF(Wünsche!$A$6:$A$605,$A60,Wünsche!$H$6:$H$605))</f>
        <v/>
      </c>
      <c r="K60" s="13" t="str">
        <f aca="false">IF(OR($A60="",G60=""),"",G60-J60)</f>
        <v/>
      </c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6" t="str">
        <f aca="false">IF($A61="","",COUNTIF(Wünsche!$A$6:$A$605,$A61))</f>
        <v/>
      </c>
      <c r="J61" s="16" t="str">
        <f aca="false">IF($A61="","",SUMIF(Wünsche!$A$6:$A$605,$A61,Wünsche!$H$6:$H$605))</f>
        <v/>
      </c>
      <c r="K61" s="13" t="str">
        <f aca="false">IF(OR($A61="",G61=""),"",G61-J61)</f>
        <v/>
      </c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6" t="str">
        <f aca="false">IF($A62="","",COUNTIF(Wünsche!$A$6:$A$605,$A62))</f>
        <v/>
      </c>
      <c r="J62" s="16" t="str">
        <f aca="false">IF($A62="","",SUMIF(Wünsche!$A$6:$A$605,$A62,Wünsche!$H$6:$H$605))</f>
        <v/>
      </c>
      <c r="K62" s="13" t="str">
        <f aca="false">IF(OR($A62="",G62=""),"",G62-J62)</f>
        <v/>
      </c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6" t="str">
        <f aca="false">IF($A63="","",COUNTIF(Wünsche!$A$6:$A$605,$A63))</f>
        <v/>
      </c>
      <c r="J63" s="16" t="str">
        <f aca="false">IF($A63="","",SUMIF(Wünsche!$A$6:$A$605,$A63,Wünsche!$H$6:$H$605))</f>
        <v/>
      </c>
      <c r="K63" s="13" t="str">
        <f aca="false">IF(OR($A63="",G63=""),"",G63-J63)</f>
        <v/>
      </c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6" t="str">
        <f aca="false">IF($A64="","",COUNTIF(Wünsche!$A$6:$A$605,$A64))</f>
        <v/>
      </c>
      <c r="J64" s="16" t="str">
        <f aca="false">IF($A64="","",SUMIF(Wünsche!$A$6:$A$605,$A64,Wünsche!$H$6:$H$605))</f>
        <v/>
      </c>
      <c r="K64" s="13" t="str">
        <f aca="false">IF(OR($A64="",G64=""),"",G64-J64)</f>
        <v/>
      </c>
    </row>
  </sheetData>
  <conditionalFormatting sqref="K5:K64">
    <cfRule type="expression" priority="2" aboveAverage="0" equalAverage="0" bottom="0" percent="0" rank="0" text="" dxfId="25">
      <formula>AND(K5&lt;&gt;"",K5&lt;0)</formula>
    </cfRule>
  </conditionalFormatting>
  <conditionalFormatting sqref="A5:A64">
    <cfRule type="expression" priority="3" aboveAverage="0" equalAverage="0" bottom="0" percent="0" rank="0" text="" dxfId="25">
      <formula>AND(A5&lt;&gt;"",COUNTIF($A$5:$A$64,A5)&gt;1)</formula>
    </cfRule>
  </conditionalFormatting>
  <dataValidations count="2">
    <dataValidation allowBlank="true" errorStyle="stop" operator="between" showDropDown="false" showErrorMessage="false" showInputMessage="false" sqref="B5:B64" type="list">
      <formula1>Einstellungen!$A$7:$A$16</formula1>
      <formula2>0</formula2>
    </dataValidation>
    <dataValidation allowBlank="true" errorStyle="stop" operator="between" showDropDown="false" showErrorMessage="false" showInputMessage="false" sqref="C5:F64" type="list">
      <formula1>Einstellungen!$H$7:$H$36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3"/>
    <col collapsed="false" customWidth="true" hidden="false" outlineLevel="0" max="14" min="14" style="0" width="13"/>
    <col collapsed="false" customWidth="true" hidden="false" outlineLevel="0" max="15" min="15" style="0" width="26"/>
  </cols>
  <sheetData>
    <row r="1" customFormat="false" ht="25.5" hidden="false" customHeight="true" outlineLevel="0" collapsed="false">
      <c r="A1" s="6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7" t="s">
        <v>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A3" s="17" t="s">
        <v>78</v>
      </c>
      <c r="B3" s="14" t="n">
        <v>46388</v>
      </c>
      <c r="C3" s="1"/>
      <c r="D3" s="8" t="s">
        <v>79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7" t="s">
        <v>80</v>
      </c>
      <c r="B4" s="18" t="n">
        <f aca="false">B3+365</f>
        <v>46753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/>
      <c r="B5" s="19" t="s">
        <v>81</v>
      </c>
      <c r="C5" s="1"/>
      <c r="D5" s="1"/>
      <c r="E5" s="1"/>
      <c r="F5" s="1"/>
      <c r="G5" s="1"/>
      <c r="H5" s="1"/>
      <c r="I5" s="19" t="s">
        <v>82</v>
      </c>
      <c r="J5" s="1"/>
      <c r="K5" s="1"/>
      <c r="L5" s="1"/>
      <c r="M5" s="1"/>
      <c r="N5" s="20" t="s">
        <v>83</v>
      </c>
      <c r="O5" s="1"/>
    </row>
    <row r="6" customFormat="false" ht="30" hidden="false" customHeight="true" outlineLevel="0" collapsed="false">
      <c r="A6" s="9" t="s">
        <v>40</v>
      </c>
      <c r="B6" s="9" t="s">
        <v>84</v>
      </c>
      <c r="C6" s="9" t="s">
        <v>85</v>
      </c>
      <c r="D6" s="9" t="s">
        <v>86</v>
      </c>
      <c r="E6" s="9" t="s">
        <v>87</v>
      </c>
      <c r="F6" s="9" t="s">
        <v>88</v>
      </c>
      <c r="G6" s="1"/>
      <c r="H6" s="9" t="s">
        <v>89</v>
      </c>
      <c r="I6" s="9" t="s">
        <v>84</v>
      </c>
      <c r="J6" s="9" t="s">
        <v>85</v>
      </c>
      <c r="K6" s="9" t="s">
        <v>86</v>
      </c>
      <c r="L6" s="9" t="s">
        <v>90</v>
      </c>
      <c r="M6" s="1"/>
      <c r="N6" s="9" t="s">
        <v>91</v>
      </c>
      <c r="O6" s="9" t="s">
        <v>92</v>
      </c>
    </row>
    <row r="7" customFormat="false" ht="15" hidden="false" customHeight="false" outlineLevel="0" collapsed="false">
      <c r="A7" s="15" t="s">
        <v>70</v>
      </c>
      <c r="B7" s="21" t="n">
        <v>2</v>
      </c>
      <c r="C7" s="21"/>
      <c r="D7" s="21" t="n">
        <v>3</v>
      </c>
      <c r="E7" s="22" t="n">
        <f aca="false">IF(A7="","",COUNTIF(Team!$B$5:$B$64,A7))</f>
        <v>3</v>
      </c>
      <c r="F7" s="23"/>
      <c r="G7" s="1"/>
      <c r="H7" s="15" t="s">
        <v>71</v>
      </c>
      <c r="I7" s="21"/>
      <c r="J7" s="21"/>
      <c r="K7" s="21"/>
      <c r="L7" s="22" t="n">
        <f aca="false">IF(H7="","",COUNTIF(Team!$C$5:$F$64,H7))</f>
        <v>1</v>
      </c>
      <c r="M7" s="1"/>
      <c r="N7" s="14" t="n">
        <v>46388</v>
      </c>
      <c r="O7" s="15" t="s">
        <v>93</v>
      </c>
    </row>
    <row r="8" customFormat="false" ht="15" hidden="false" customHeight="false" outlineLevel="0" collapsed="false">
      <c r="A8" s="15" t="s">
        <v>74</v>
      </c>
      <c r="B8" s="21"/>
      <c r="C8" s="21"/>
      <c r="D8" s="21" t="n">
        <v>2</v>
      </c>
      <c r="E8" s="22" t="n">
        <f aca="false">IF(A8="","",COUNTIF(Team!$B$5:$B$64,A8))</f>
        <v>2</v>
      </c>
      <c r="F8" s="24"/>
      <c r="G8" s="1"/>
      <c r="H8" s="15" t="s">
        <v>61</v>
      </c>
      <c r="I8" s="21"/>
      <c r="J8" s="21"/>
      <c r="K8" s="21"/>
      <c r="L8" s="22" t="n">
        <f aca="false">IF(H8="","",COUNTIF(Team!$C$5:$F$64,H8))</f>
        <v>4</v>
      </c>
      <c r="M8" s="1"/>
      <c r="N8" s="14" t="n">
        <v>46472</v>
      </c>
      <c r="O8" s="15" t="s">
        <v>94</v>
      </c>
    </row>
    <row r="9" customFormat="false" ht="15" hidden="false" customHeight="false" outlineLevel="0" collapsed="false">
      <c r="A9" s="15" t="s">
        <v>75</v>
      </c>
      <c r="B9" s="21"/>
      <c r="C9" s="21"/>
      <c r="D9" s="21" t="n">
        <v>2</v>
      </c>
      <c r="E9" s="22" t="n">
        <f aca="false">IF(A9="","",COUNTIF(Team!$B$5:$B$64,A9))</f>
        <v>2</v>
      </c>
      <c r="F9" s="25"/>
      <c r="G9" s="1"/>
      <c r="H9" s="15" t="s">
        <v>62</v>
      </c>
      <c r="I9" s="21"/>
      <c r="J9" s="21"/>
      <c r="K9" s="21"/>
      <c r="L9" s="22" t="n">
        <f aca="false">IF(H9="","",COUNTIF(Team!$C$5:$F$64,H9))</f>
        <v>3</v>
      </c>
      <c r="M9" s="1"/>
      <c r="N9" s="14" t="n">
        <v>46475</v>
      </c>
      <c r="O9" s="15" t="s">
        <v>95</v>
      </c>
    </row>
    <row r="10" customFormat="false" ht="15" hidden="false" customHeight="false" outlineLevel="0" collapsed="false">
      <c r="A10" s="15" t="s">
        <v>96</v>
      </c>
      <c r="B10" s="21"/>
      <c r="C10" s="21"/>
      <c r="D10" s="21"/>
      <c r="E10" s="22" t="n">
        <f aca="false">IF(A10="","",COUNTIF(Team!$B$5:$B$64,A10))</f>
        <v>0</v>
      </c>
      <c r="F10" s="26"/>
      <c r="G10" s="1"/>
      <c r="H10" s="15" t="s">
        <v>63</v>
      </c>
      <c r="I10" s="21"/>
      <c r="J10" s="21"/>
      <c r="K10" s="21"/>
      <c r="L10" s="22" t="n">
        <f aca="false">IF(H10="","",COUNTIF(Team!$C$5:$F$64,H10))</f>
        <v>3</v>
      </c>
      <c r="M10" s="1"/>
      <c r="N10" s="14" t="n">
        <v>46508</v>
      </c>
      <c r="O10" s="15" t="s">
        <v>97</v>
      </c>
    </row>
    <row r="11" customFormat="false" ht="15" hidden="false" customHeight="false" outlineLevel="0" collapsed="false">
      <c r="A11" s="15"/>
      <c r="B11" s="21"/>
      <c r="C11" s="21"/>
      <c r="D11" s="21"/>
      <c r="E11" s="22" t="str">
        <f aca="false">IF(A11="","",COUNTIF(Team!$B$5:$B$64,A11))</f>
        <v/>
      </c>
      <c r="F11" s="27"/>
      <c r="G11" s="1"/>
      <c r="H11" s="15" t="s">
        <v>64</v>
      </c>
      <c r="I11" s="21"/>
      <c r="J11" s="21"/>
      <c r="K11" s="21"/>
      <c r="L11" s="22" t="n">
        <f aca="false">IF(H11="","",COUNTIF(Team!$C$5:$F$64,H11))</f>
        <v>0</v>
      </c>
      <c r="M11" s="1"/>
      <c r="N11" s="14" t="n">
        <v>46513</v>
      </c>
      <c r="O11" s="15" t="s">
        <v>98</v>
      </c>
    </row>
    <row r="12" customFormat="false" ht="15" hidden="false" customHeight="false" outlineLevel="0" collapsed="false">
      <c r="A12" s="15"/>
      <c r="B12" s="21"/>
      <c r="C12" s="21"/>
      <c r="D12" s="21"/>
      <c r="E12" s="22" t="str">
        <f aca="false">IF(A12="","",COUNTIF(Team!$B$5:$B$64,A12))</f>
        <v/>
      </c>
      <c r="F12" s="28"/>
      <c r="G12" s="1"/>
      <c r="H12" s="15" t="s">
        <v>99</v>
      </c>
      <c r="I12" s="21"/>
      <c r="J12" s="21"/>
      <c r="K12" s="21"/>
      <c r="L12" s="22" t="n">
        <f aca="false">IF(H12="","",COUNTIF(Team!$C$5:$F$64,H12))</f>
        <v>0</v>
      </c>
      <c r="M12" s="1"/>
      <c r="N12" s="14" t="n">
        <v>46524</v>
      </c>
      <c r="O12" s="15" t="s">
        <v>100</v>
      </c>
    </row>
    <row r="13" customFormat="false" ht="15" hidden="false" customHeight="false" outlineLevel="0" collapsed="false">
      <c r="A13" s="15"/>
      <c r="B13" s="21"/>
      <c r="C13" s="21"/>
      <c r="D13" s="21"/>
      <c r="E13" s="22" t="str">
        <f aca="false">IF(A13="","",COUNTIF(Team!$B$5:$B$64,A13))</f>
        <v/>
      </c>
      <c r="F13" s="29"/>
      <c r="G13" s="1"/>
      <c r="H13" s="15" t="s">
        <v>101</v>
      </c>
      <c r="I13" s="21"/>
      <c r="J13" s="21"/>
      <c r="K13" s="21"/>
      <c r="L13" s="22" t="n">
        <f aca="false">IF(H13="","",COUNTIF(Team!$C$5:$F$64,H13))</f>
        <v>0</v>
      </c>
      <c r="M13" s="1"/>
      <c r="N13" s="14" t="n">
        <v>46663</v>
      </c>
      <c r="O13" s="15" t="s">
        <v>102</v>
      </c>
    </row>
    <row r="14" customFormat="false" ht="15" hidden="false" customHeight="false" outlineLevel="0" collapsed="false">
      <c r="A14" s="15"/>
      <c r="B14" s="21"/>
      <c r="C14" s="21"/>
      <c r="D14" s="21"/>
      <c r="E14" s="22" t="str">
        <f aca="false">IF(A14="","",COUNTIF(Team!$B$5:$B$64,A14))</f>
        <v/>
      </c>
      <c r="F14" s="30"/>
      <c r="G14" s="1"/>
      <c r="H14" s="15" t="s">
        <v>103</v>
      </c>
      <c r="I14" s="21"/>
      <c r="J14" s="21"/>
      <c r="K14" s="21"/>
      <c r="L14" s="22" t="n">
        <f aca="false">IF(H14="","",COUNTIF(Team!$C$5:$F$64,H14))</f>
        <v>0</v>
      </c>
      <c r="M14" s="1"/>
      <c r="N14" s="14" t="n">
        <v>46746</v>
      </c>
      <c r="O14" s="15" t="s">
        <v>104</v>
      </c>
    </row>
    <row r="15" customFormat="false" ht="15" hidden="false" customHeight="false" outlineLevel="0" collapsed="false">
      <c r="A15" s="15"/>
      <c r="B15" s="21"/>
      <c r="C15" s="21"/>
      <c r="D15" s="21"/>
      <c r="E15" s="22" t="str">
        <f aca="false">IF(A15="","",COUNTIF(Team!$B$5:$B$64,A15))</f>
        <v/>
      </c>
      <c r="F15" s="31"/>
      <c r="G15" s="1"/>
      <c r="H15" s="15" t="s">
        <v>105</v>
      </c>
      <c r="I15" s="21"/>
      <c r="J15" s="21"/>
      <c r="K15" s="21"/>
      <c r="L15" s="22" t="n">
        <f aca="false">IF(H15="","",COUNTIF(Team!$C$5:$F$64,H15))</f>
        <v>0</v>
      </c>
      <c r="M15" s="1"/>
      <c r="N15" s="14" t="n">
        <v>46747</v>
      </c>
      <c r="O15" s="15" t="s">
        <v>106</v>
      </c>
    </row>
    <row r="16" customFormat="false" ht="15" hidden="false" customHeight="false" outlineLevel="0" collapsed="false">
      <c r="A16" s="15"/>
      <c r="B16" s="21"/>
      <c r="C16" s="21"/>
      <c r="D16" s="21"/>
      <c r="E16" s="22" t="str">
        <f aca="false">IF(A16="","",COUNTIF(Team!$B$5:$B$64,A16))</f>
        <v/>
      </c>
      <c r="F16" s="32"/>
      <c r="G16" s="1"/>
      <c r="H16" s="15" t="s">
        <v>73</v>
      </c>
      <c r="I16" s="21"/>
      <c r="J16" s="21"/>
      <c r="K16" s="21"/>
      <c r="L16" s="22" t="n">
        <f aca="false">IF(H16="","",COUNTIF(Team!$C$5:$F$64,H16))</f>
        <v>2</v>
      </c>
      <c r="M16" s="1"/>
      <c r="N16" s="14"/>
      <c r="O16" s="15"/>
    </row>
    <row r="17" customFormat="false" ht="15" hidden="false" customHeight="false" outlineLevel="0" collapsed="false">
      <c r="A17" s="1"/>
      <c r="B17" s="33"/>
      <c r="C17" s="33"/>
      <c r="D17" s="33"/>
      <c r="E17" s="33"/>
      <c r="F17" s="1"/>
      <c r="G17" s="1"/>
      <c r="H17" s="15" t="s">
        <v>72</v>
      </c>
      <c r="I17" s="21"/>
      <c r="J17" s="21"/>
      <c r="K17" s="21"/>
      <c r="L17" s="22" t="n">
        <f aca="false">IF(H17="","",COUNTIF(Team!$C$5:$F$64,H17))</f>
        <v>3</v>
      </c>
      <c r="M17" s="1"/>
      <c r="N17" s="14"/>
      <c r="O17" s="15"/>
    </row>
    <row r="18" customFormat="false" ht="15" hidden="false" customHeight="false" outlineLevel="0" collapsed="false">
      <c r="A18" s="1"/>
      <c r="B18" s="33"/>
      <c r="C18" s="33"/>
      <c r="D18" s="33"/>
      <c r="E18" s="33"/>
      <c r="F18" s="1"/>
      <c r="G18" s="1"/>
      <c r="H18" s="15" t="s">
        <v>107</v>
      </c>
      <c r="I18" s="21"/>
      <c r="J18" s="21"/>
      <c r="K18" s="21"/>
      <c r="L18" s="22" t="n">
        <f aca="false">IF(H18="","",COUNTIF(Team!$C$5:$F$64,H18))</f>
        <v>0</v>
      </c>
      <c r="M18" s="1"/>
      <c r="N18" s="14"/>
      <c r="O18" s="15"/>
    </row>
    <row r="19" customFormat="false" ht="15" hidden="false" customHeight="false" outlineLevel="0" collapsed="false">
      <c r="A19" s="1"/>
      <c r="B19" s="33"/>
      <c r="C19" s="33"/>
      <c r="D19" s="33"/>
      <c r="E19" s="33"/>
      <c r="F19" s="1"/>
      <c r="G19" s="1"/>
      <c r="H19" s="15" t="s">
        <v>108</v>
      </c>
      <c r="I19" s="21"/>
      <c r="J19" s="21"/>
      <c r="K19" s="21"/>
      <c r="L19" s="22" t="n">
        <f aca="false">IF(H19="","",COUNTIF(Team!$C$5:$F$64,H19))</f>
        <v>0</v>
      </c>
      <c r="M19" s="1"/>
      <c r="N19" s="14"/>
      <c r="O19" s="15"/>
    </row>
    <row r="20" customFormat="false" ht="15" hidden="false" customHeight="false" outlineLevel="0" collapsed="false">
      <c r="A20" s="1"/>
      <c r="B20" s="33"/>
      <c r="C20" s="33"/>
      <c r="D20" s="33"/>
      <c r="E20" s="33"/>
      <c r="F20" s="1"/>
      <c r="G20" s="1"/>
      <c r="H20" s="15" t="s">
        <v>109</v>
      </c>
      <c r="I20" s="21"/>
      <c r="J20" s="21"/>
      <c r="K20" s="21"/>
      <c r="L20" s="22" t="n">
        <f aca="false">IF(H20="","",COUNTIF(Team!$C$5:$F$64,H20))</f>
        <v>0</v>
      </c>
      <c r="M20" s="1"/>
      <c r="N20" s="14"/>
      <c r="O20" s="15"/>
    </row>
    <row r="21" customFormat="false" ht="15" hidden="false" customHeight="false" outlineLevel="0" collapsed="false">
      <c r="A21" s="1"/>
      <c r="B21" s="33"/>
      <c r="C21" s="33"/>
      <c r="D21" s="33"/>
      <c r="E21" s="33"/>
      <c r="F21" s="1"/>
      <c r="G21" s="1"/>
      <c r="H21" s="15"/>
      <c r="I21" s="21"/>
      <c r="J21" s="21"/>
      <c r="K21" s="21"/>
      <c r="L21" s="22" t="str">
        <f aca="false">IF(H21="","",COUNTIF(Team!$C$5:$F$64,H21))</f>
        <v/>
      </c>
      <c r="M21" s="1"/>
      <c r="N21" s="14"/>
      <c r="O21" s="15"/>
    </row>
    <row r="22" customFormat="false" ht="15" hidden="false" customHeight="false" outlineLevel="0" collapsed="false">
      <c r="A22" s="1"/>
      <c r="B22" s="33"/>
      <c r="C22" s="33"/>
      <c r="D22" s="33"/>
      <c r="E22" s="33"/>
      <c r="F22" s="1"/>
      <c r="G22" s="1"/>
      <c r="H22" s="15"/>
      <c r="I22" s="21"/>
      <c r="J22" s="21"/>
      <c r="K22" s="21"/>
      <c r="L22" s="22" t="str">
        <f aca="false">IF(H22="","",COUNTIF(Team!$C$5:$F$64,H22))</f>
        <v/>
      </c>
      <c r="M22" s="1"/>
      <c r="N22" s="14"/>
      <c r="O22" s="15"/>
    </row>
    <row r="23" customFormat="false" ht="15" hidden="false" customHeight="false" outlineLevel="0" collapsed="false">
      <c r="A23" s="1"/>
      <c r="B23" s="33"/>
      <c r="C23" s="33"/>
      <c r="D23" s="33"/>
      <c r="E23" s="33"/>
      <c r="F23" s="1"/>
      <c r="G23" s="1"/>
      <c r="H23" s="15"/>
      <c r="I23" s="21"/>
      <c r="J23" s="21"/>
      <c r="K23" s="21"/>
      <c r="L23" s="22" t="str">
        <f aca="false">IF(H23="","",COUNTIF(Team!$C$5:$F$64,H23))</f>
        <v/>
      </c>
      <c r="M23" s="1"/>
      <c r="N23" s="14"/>
      <c r="O23" s="15"/>
    </row>
    <row r="24" customFormat="false" ht="15" hidden="false" customHeight="false" outlineLevel="0" collapsed="false">
      <c r="A24" s="1"/>
      <c r="B24" s="33"/>
      <c r="C24" s="33"/>
      <c r="D24" s="33"/>
      <c r="E24" s="33"/>
      <c r="F24" s="1"/>
      <c r="G24" s="1"/>
      <c r="H24" s="15"/>
      <c r="I24" s="21"/>
      <c r="J24" s="21"/>
      <c r="K24" s="21"/>
      <c r="L24" s="22" t="str">
        <f aca="false">IF(H24="","",COUNTIF(Team!$C$5:$F$64,H24))</f>
        <v/>
      </c>
      <c r="M24" s="1"/>
      <c r="N24" s="14"/>
      <c r="O24" s="15"/>
    </row>
    <row r="25" customFormat="false" ht="15" hidden="false" customHeight="false" outlineLevel="0" collapsed="false">
      <c r="A25" s="1"/>
      <c r="B25" s="33"/>
      <c r="C25" s="33"/>
      <c r="D25" s="33"/>
      <c r="E25" s="33"/>
      <c r="F25" s="1"/>
      <c r="G25" s="1"/>
      <c r="H25" s="15"/>
      <c r="I25" s="21"/>
      <c r="J25" s="21"/>
      <c r="K25" s="21"/>
      <c r="L25" s="22" t="str">
        <f aca="false">IF(H25="","",COUNTIF(Team!$C$5:$F$64,H25))</f>
        <v/>
      </c>
      <c r="M25" s="1"/>
      <c r="N25" s="14"/>
      <c r="O25" s="15"/>
    </row>
    <row r="26" customFormat="false" ht="15" hidden="false" customHeight="false" outlineLevel="0" collapsed="false">
      <c r="A26" s="1"/>
      <c r="B26" s="33"/>
      <c r="C26" s="33"/>
      <c r="D26" s="33"/>
      <c r="E26" s="33"/>
      <c r="F26" s="1"/>
      <c r="G26" s="1"/>
      <c r="H26" s="15"/>
      <c r="I26" s="21"/>
      <c r="J26" s="21"/>
      <c r="K26" s="21"/>
      <c r="L26" s="22" t="str">
        <f aca="false">IF(H26="","",COUNTIF(Team!$C$5:$F$64,H26))</f>
        <v/>
      </c>
      <c r="M26" s="1"/>
      <c r="N26" s="14"/>
      <c r="O26" s="15"/>
    </row>
    <row r="27" customFormat="false" ht="15" hidden="false" customHeight="false" outlineLevel="0" collapsed="false">
      <c r="A27" s="1"/>
      <c r="B27" s="33"/>
      <c r="C27" s="33"/>
      <c r="D27" s="33"/>
      <c r="E27" s="33"/>
      <c r="F27" s="1"/>
      <c r="G27" s="1"/>
      <c r="H27" s="15"/>
      <c r="I27" s="21"/>
      <c r="J27" s="21"/>
      <c r="K27" s="21"/>
      <c r="L27" s="22" t="str">
        <f aca="false">IF(H27="","",COUNTIF(Team!$C$5:$F$64,H27))</f>
        <v/>
      </c>
      <c r="M27" s="1"/>
      <c r="N27" s="14"/>
      <c r="O27" s="15"/>
    </row>
    <row r="28" customFormat="false" ht="15" hidden="false" customHeight="false" outlineLevel="0" collapsed="false">
      <c r="A28" s="1"/>
      <c r="B28" s="33"/>
      <c r="C28" s="33"/>
      <c r="D28" s="33"/>
      <c r="E28" s="33"/>
      <c r="F28" s="1"/>
      <c r="G28" s="1"/>
      <c r="H28" s="15"/>
      <c r="I28" s="21"/>
      <c r="J28" s="21"/>
      <c r="K28" s="21"/>
      <c r="L28" s="22" t="str">
        <f aca="false">IF(H28="","",COUNTIF(Team!$C$5:$F$64,H28))</f>
        <v/>
      </c>
      <c r="M28" s="1"/>
      <c r="N28" s="14"/>
      <c r="O28" s="15"/>
    </row>
    <row r="29" customFormat="false" ht="15" hidden="false" customHeight="false" outlineLevel="0" collapsed="false">
      <c r="A29" s="1"/>
      <c r="B29" s="33"/>
      <c r="C29" s="33"/>
      <c r="D29" s="33"/>
      <c r="E29" s="33"/>
      <c r="F29" s="1"/>
      <c r="G29" s="1"/>
      <c r="H29" s="15"/>
      <c r="I29" s="21"/>
      <c r="J29" s="21"/>
      <c r="K29" s="21"/>
      <c r="L29" s="22" t="str">
        <f aca="false">IF(H29="","",COUNTIF(Team!$C$5:$F$64,H29))</f>
        <v/>
      </c>
      <c r="M29" s="1"/>
      <c r="N29" s="14"/>
      <c r="O29" s="15"/>
    </row>
    <row r="30" customFormat="false" ht="15" hidden="false" customHeight="false" outlineLevel="0" collapsed="false">
      <c r="A30" s="1"/>
      <c r="B30" s="33"/>
      <c r="C30" s="33"/>
      <c r="D30" s="33"/>
      <c r="E30" s="33"/>
      <c r="F30" s="1"/>
      <c r="G30" s="1"/>
      <c r="H30" s="15"/>
      <c r="I30" s="21"/>
      <c r="J30" s="21"/>
      <c r="K30" s="21"/>
      <c r="L30" s="22" t="str">
        <f aca="false">IF(H30="","",COUNTIF(Team!$C$5:$F$64,H30))</f>
        <v/>
      </c>
      <c r="M30" s="1"/>
      <c r="N30" s="14"/>
      <c r="O30" s="15"/>
    </row>
    <row r="31" customFormat="false" ht="15" hidden="false" customHeight="false" outlineLevel="0" collapsed="false">
      <c r="A31" s="1"/>
      <c r="B31" s="33"/>
      <c r="C31" s="33"/>
      <c r="D31" s="33"/>
      <c r="E31" s="33"/>
      <c r="F31" s="1"/>
      <c r="G31" s="1"/>
      <c r="H31" s="15"/>
      <c r="I31" s="21"/>
      <c r="J31" s="21"/>
      <c r="K31" s="21"/>
      <c r="L31" s="22" t="str">
        <f aca="false">IF(H31="","",COUNTIF(Team!$C$5:$F$64,H31))</f>
        <v/>
      </c>
      <c r="M31" s="1"/>
      <c r="N31" s="14"/>
      <c r="O31" s="15"/>
    </row>
    <row r="32" customFormat="false" ht="15" hidden="false" customHeight="false" outlineLevel="0" collapsed="false">
      <c r="A32" s="1"/>
      <c r="B32" s="33"/>
      <c r="C32" s="33"/>
      <c r="D32" s="33"/>
      <c r="E32" s="33"/>
      <c r="F32" s="1"/>
      <c r="G32" s="1"/>
      <c r="H32" s="15"/>
      <c r="I32" s="21"/>
      <c r="J32" s="21"/>
      <c r="K32" s="21"/>
      <c r="L32" s="22" t="str">
        <f aca="false">IF(H32="","",COUNTIF(Team!$C$5:$F$64,H32))</f>
        <v/>
      </c>
      <c r="M32" s="1"/>
      <c r="N32" s="14"/>
      <c r="O32" s="15"/>
    </row>
    <row r="33" customFormat="false" ht="15" hidden="false" customHeight="false" outlineLevel="0" collapsed="false">
      <c r="A33" s="1"/>
      <c r="B33" s="33"/>
      <c r="C33" s="33"/>
      <c r="D33" s="33"/>
      <c r="E33" s="33"/>
      <c r="F33" s="1"/>
      <c r="G33" s="1"/>
      <c r="H33" s="15"/>
      <c r="I33" s="21"/>
      <c r="J33" s="21"/>
      <c r="K33" s="21"/>
      <c r="L33" s="22" t="str">
        <f aca="false">IF(H33="","",COUNTIF(Team!$C$5:$F$64,H33))</f>
        <v/>
      </c>
      <c r="M33" s="1"/>
      <c r="N33" s="14"/>
      <c r="O33" s="15"/>
    </row>
    <row r="34" customFormat="false" ht="15" hidden="false" customHeight="false" outlineLevel="0" collapsed="false">
      <c r="A34" s="1"/>
      <c r="B34" s="33"/>
      <c r="C34" s="33"/>
      <c r="D34" s="33"/>
      <c r="E34" s="33"/>
      <c r="F34" s="1"/>
      <c r="G34" s="1"/>
      <c r="H34" s="15"/>
      <c r="I34" s="21"/>
      <c r="J34" s="21"/>
      <c r="K34" s="21"/>
      <c r="L34" s="22" t="str">
        <f aca="false">IF(H34="","",COUNTIF(Team!$C$5:$F$64,H34))</f>
        <v/>
      </c>
      <c r="M34" s="1"/>
      <c r="N34" s="14"/>
      <c r="O34" s="15"/>
    </row>
    <row r="35" customFormat="false" ht="15" hidden="false" customHeight="false" outlineLevel="0" collapsed="false">
      <c r="A35" s="1"/>
      <c r="B35" s="33"/>
      <c r="C35" s="33"/>
      <c r="D35" s="33"/>
      <c r="E35" s="33"/>
      <c r="F35" s="1"/>
      <c r="G35" s="1"/>
      <c r="H35" s="15"/>
      <c r="I35" s="21"/>
      <c r="J35" s="21"/>
      <c r="K35" s="21"/>
      <c r="L35" s="22" t="str">
        <f aca="false">IF(H35="","",COUNTIF(Team!$C$5:$F$64,H35))</f>
        <v/>
      </c>
      <c r="M35" s="1"/>
      <c r="N35" s="14"/>
      <c r="O35" s="15"/>
    </row>
    <row r="36" customFormat="false" ht="15" hidden="false" customHeight="false" outlineLevel="0" collapsed="false">
      <c r="A36" s="1"/>
      <c r="B36" s="33"/>
      <c r="C36" s="33"/>
      <c r="D36" s="33"/>
      <c r="E36" s="33"/>
      <c r="F36" s="1"/>
      <c r="G36" s="1"/>
      <c r="H36" s="15"/>
      <c r="I36" s="21"/>
      <c r="J36" s="21"/>
      <c r="K36" s="21"/>
      <c r="L36" s="22" t="str">
        <f aca="false">IF(H36="","",COUNTIF(Team!$C$5:$F$64,H36))</f>
        <v/>
      </c>
      <c r="M36" s="1"/>
      <c r="N36" s="14"/>
      <c r="O36" s="15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4"/>
      <c r="O37" s="15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4"/>
      <c r="O38" s="15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4"/>
      <c r="O39" s="15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4"/>
      <c r="O40" s="15"/>
    </row>
  </sheetData>
  <dataValidations count="1">
    <dataValidation allowBlank="false" error="Bitte eine ganze Zahl (1–99) eintragen oder leer lassen." errorStyle="stop" operator="between" showDropDown="false" showErrorMessage="true" showInputMessage="false" sqref="B7:D16 I7:K36" type="whole">
      <formula1>1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2026-10-06T15:03:24Z</dcterms:created>
  <dc:creator>openpyxl</dc:creator>
  <dc:description/>
  <dc:language>en-US</dc:language>
  <cp:lastModifiedBy/>
  <dcterms:modified xsi:type="dcterms:W3CDTF">2026-10-06T15:03:24Z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